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MMC\Desktop\"/>
    </mc:Choice>
  </mc:AlternateContent>
  <xr:revisionPtr revIDLastSave="0" documentId="13_ncr:1_{D2DCA7F8-422A-47BD-9D2B-C2E4ED8F6028}" xr6:coauthVersionLast="36" xr6:coauthVersionMax="47" xr10:uidLastSave="{00000000-0000-0000-0000-000000000000}"/>
  <bookViews>
    <workbookView xWindow="-120" yWindow="-120" windowWidth="29040" windowHeight="15840" activeTab="1" xr2:uid="{CB93CD25-F60A-4C71-9972-2D21EA4F39BE}"/>
  </bookViews>
  <sheets>
    <sheet name="Sheet1" sheetId="1" r:id="rId1"/>
    <sheet name="Pivot Table" sheetId="2" r:id="rId2"/>
    <sheet name="Dashboard" sheetId="3" r:id="rId3"/>
  </sheets>
  <definedNames>
    <definedName name="Slicer_Ads">#N/A</definedName>
    <definedName name="Slic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7" i="1" l="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alcChain>
</file>

<file path=xl/sharedStrings.xml><?xml version="1.0" encoding="utf-8"?>
<sst xmlns="http://schemas.openxmlformats.org/spreadsheetml/2006/main" count="111" uniqueCount="41">
  <si>
    <t>Date</t>
  </si>
  <si>
    <t>Reach</t>
  </si>
  <si>
    <t xml:space="preserve">Massege </t>
  </si>
  <si>
    <t>Per Post Engagement</t>
  </si>
  <si>
    <t>Impressions</t>
  </si>
  <si>
    <t xml:space="preserve">Cost Per  </t>
  </si>
  <si>
    <t>Total Spend</t>
  </si>
  <si>
    <t>Ads</t>
  </si>
  <si>
    <t>LMAR MARKETING</t>
  </si>
  <si>
    <t xml:space="preserve"> Monthly Ads report from 13/ Feb/ 2026 To 13/ Mar/ 2026</t>
  </si>
  <si>
    <t>13/2</t>
  </si>
  <si>
    <t>Faisal Town 2</t>
  </si>
  <si>
    <t xml:space="preserve">Play </t>
  </si>
  <si>
    <t>15/2</t>
  </si>
  <si>
    <t>16/2</t>
  </si>
  <si>
    <t>18/2</t>
  </si>
  <si>
    <t>20/2</t>
  </si>
  <si>
    <t>DHA Peshawar</t>
  </si>
  <si>
    <t>21/2</t>
  </si>
  <si>
    <t>New Massege</t>
  </si>
  <si>
    <t>22/2</t>
  </si>
  <si>
    <t xml:space="preserve">Hyper Mall </t>
  </si>
  <si>
    <t>Awareness</t>
  </si>
  <si>
    <t>Hayatabad</t>
  </si>
  <si>
    <t>23/2</t>
  </si>
  <si>
    <t>24/2</t>
  </si>
  <si>
    <t>26/2</t>
  </si>
  <si>
    <t>27/2</t>
  </si>
  <si>
    <t xml:space="preserve">Paradise City </t>
  </si>
  <si>
    <t>28/2</t>
  </si>
  <si>
    <t>Leads</t>
  </si>
  <si>
    <t>P/Is</t>
  </si>
  <si>
    <t xml:space="preserve"> </t>
  </si>
  <si>
    <t>Row Labels</t>
  </si>
  <si>
    <t>Grand Total</t>
  </si>
  <si>
    <t>Sum of Impressions</t>
  </si>
  <si>
    <t>Sum of Total Spend</t>
  </si>
  <si>
    <t xml:space="preserve">       </t>
  </si>
  <si>
    <t>Sum of Reach</t>
  </si>
  <si>
    <t>Sum of Awareness</t>
  </si>
  <si>
    <t>Sum of Leads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</si>
</sst>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PKR]\ #,##0.00"/>
  </numFmts>
  <fonts count="7" x14ac:knownFonts="1">
    <font>
      <sz val="11"/>
      <color theme="1"/>
      <name val="Calibri"/>
      <family val="2"/>
      <scheme val="minor"/>
    </font>
    <font>
      <b/>
      <sz val="11"/>
      <color theme="1"/>
      <name val="Calibri"/>
      <family val="2"/>
      <scheme val="minor"/>
    </font>
    <font>
      <b/>
      <sz val="11"/>
      <color theme="0"/>
      <name val="Calibri"/>
      <family val="2"/>
      <scheme val="minor"/>
    </font>
    <font>
      <b/>
      <sz val="22"/>
      <color theme="1"/>
      <name val="Calibri"/>
      <family val="2"/>
      <scheme val="minor"/>
    </font>
    <font>
      <sz val="8"/>
      <name val="Calibri"/>
      <family val="2"/>
      <scheme val="minor"/>
    </font>
    <font>
      <sz val="11"/>
      <name val="Calibri"/>
      <family val="2"/>
      <scheme val="minor"/>
    </font>
    <font>
      <b/>
      <sz val="11"/>
      <name val="Calibri"/>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theme="7" tint="0.39997558519241921"/>
        <bgColor indexed="64"/>
      </patternFill>
    </fill>
    <fill>
      <patternFill patternType="solid">
        <fgColor theme="4"/>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1">
    <xf numFmtId="0" fontId="0" fillId="0" borderId="0"/>
  </cellStyleXfs>
  <cellXfs count="26">
    <xf numFmtId="0" fontId="0" fillId="0" borderId="0" xfId="0"/>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164" fontId="0" fillId="0" borderId="0" xfId="0" applyNumberFormat="1"/>
    <xf numFmtId="0" fontId="0" fillId="0" borderId="0" xfId="0" applyAlignment="1">
      <alignment horizontal="left"/>
    </xf>
    <xf numFmtId="0" fontId="1"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left"/>
    </xf>
    <xf numFmtId="0" fontId="0" fillId="0" borderId="1" xfId="0" applyBorder="1" applyAlignment="1">
      <alignment horizontal="center"/>
    </xf>
    <xf numFmtId="164" fontId="0" fillId="0" borderId="1" xfId="0" applyNumberFormat="1" applyBorder="1" applyAlignment="1">
      <alignment horizontal="center"/>
    </xf>
    <xf numFmtId="3" fontId="0" fillId="0" borderId="1" xfId="0" applyNumberFormat="1" applyBorder="1" applyAlignment="1">
      <alignment horizontal="center"/>
    </xf>
    <xf numFmtId="164" fontId="1" fillId="0" borderId="0" xfId="0" applyNumberFormat="1" applyFont="1" applyAlignment="1">
      <alignment horizontal="center"/>
    </xf>
    <xf numFmtId="0" fontId="0" fillId="0" borderId="0" xfId="0" pivotButton="1"/>
    <xf numFmtId="14" fontId="0" fillId="0" borderId="0" xfId="0" applyNumberFormat="1" applyAlignment="1">
      <alignment horizontal="left"/>
    </xf>
    <xf numFmtId="0" fontId="0" fillId="0" borderId="0" xfId="0" applyNumberFormat="1"/>
    <xf numFmtId="0" fontId="1" fillId="5" borderId="2" xfId="0" applyFont="1" applyFill="1" applyBorder="1"/>
    <xf numFmtId="0" fontId="5" fillId="0" borderId="0" xfId="0" applyFont="1" applyFill="1" applyAlignment="1">
      <alignment horizontal="center"/>
    </xf>
    <xf numFmtId="0" fontId="6" fillId="0" borderId="0" xfId="0" applyFont="1" applyFill="1" applyAlignment="1">
      <alignment horizontal="center"/>
    </xf>
    <xf numFmtId="164" fontId="5" fillId="0" borderId="0" xfId="0" applyNumberFormat="1" applyFont="1" applyFill="1" applyAlignment="1">
      <alignment horizontal="center"/>
    </xf>
    <xf numFmtId="164" fontId="0" fillId="0" borderId="0" xfId="0" applyNumberFormat="1" applyAlignment="1">
      <alignment horizontal="left"/>
    </xf>
    <xf numFmtId="0" fontId="3" fillId="3" borderId="1" xfId="0" applyFont="1" applyFill="1" applyBorder="1" applyAlignment="1">
      <alignment horizontal="center"/>
    </xf>
    <xf numFmtId="0" fontId="1" fillId="3" borderId="1" xfId="0" applyFont="1" applyFill="1" applyBorder="1" applyAlignment="1">
      <alignment horizontal="center"/>
    </xf>
    <xf numFmtId="0" fontId="2" fillId="4" borderId="1" xfId="0" applyFont="1" applyFill="1" applyBorder="1" applyAlignment="1">
      <alignment horizontal="center" vertical="center"/>
    </xf>
    <xf numFmtId="0" fontId="1" fillId="4" borderId="1" xfId="0" applyFont="1" applyFill="1" applyBorder="1" applyAlignment="1">
      <alignment horizontal="center" vertical="center"/>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Ads Report.xlsx]Pivot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stacked"/>
        <c:varyColors val="0"/>
        <c:ser>
          <c:idx val="0"/>
          <c:order val="0"/>
          <c:tx>
            <c:strRef>
              <c:f>'Pivot Table'!$B$15</c:f>
              <c:strCache>
                <c:ptCount val="1"/>
                <c:pt idx="0">
                  <c:v>Total</c:v>
                </c:pt>
              </c:strCache>
            </c:strRef>
          </c:tx>
          <c:spPr>
            <a:solidFill>
              <a:schemeClr val="accent1"/>
            </a:solidFill>
            <a:ln>
              <a:noFill/>
            </a:ln>
            <a:effectLst/>
          </c:spPr>
          <c:invertIfNegative val="0"/>
          <c:cat>
            <c:strRef>
              <c:f>'Pivot Table'!$A$16:$A$50</c:f>
              <c:strCache>
                <c:ptCount val="34"/>
                <c:pt idx="0">
                  <c:v>PKR 0.02</c:v>
                </c:pt>
                <c:pt idx="1">
                  <c:v>PKR 0.02</c:v>
                </c:pt>
                <c:pt idx="2">
                  <c:v>PKR 0.02</c:v>
                </c:pt>
                <c:pt idx="3">
                  <c:v>PKR 0.03</c:v>
                </c:pt>
                <c:pt idx="4">
                  <c:v>PKR 0.04</c:v>
                </c:pt>
                <c:pt idx="5">
                  <c:v>PKR 0.04</c:v>
                </c:pt>
                <c:pt idx="6">
                  <c:v>PKR 0.04</c:v>
                </c:pt>
                <c:pt idx="7">
                  <c:v>PKR 0.05</c:v>
                </c:pt>
                <c:pt idx="8">
                  <c:v>PKR 0.05</c:v>
                </c:pt>
                <c:pt idx="9">
                  <c:v>PKR 0.05</c:v>
                </c:pt>
                <c:pt idx="10">
                  <c:v>PKR 0.05</c:v>
                </c:pt>
                <c:pt idx="11">
                  <c:v>PKR 0.05</c:v>
                </c:pt>
                <c:pt idx="12">
                  <c:v>PKR 0.05</c:v>
                </c:pt>
                <c:pt idx="13">
                  <c:v>PKR 0.06</c:v>
                </c:pt>
                <c:pt idx="14">
                  <c:v>PKR 0.06</c:v>
                </c:pt>
                <c:pt idx="15">
                  <c:v>PKR 0.06</c:v>
                </c:pt>
                <c:pt idx="16">
                  <c:v>PKR 0.07</c:v>
                </c:pt>
                <c:pt idx="17">
                  <c:v>PKR 0.08</c:v>
                </c:pt>
                <c:pt idx="18">
                  <c:v>PKR 0.08</c:v>
                </c:pt>
                <c:pt idx="19">
                  <c:v>PKR 0.09</c:v>
                </c:pt>
                <c:pt idx="20">
                  <c:v>PKR 0.11</c:v>
                </c:pt>
                <c:pt idx="21">
                  <c:v>PKR 0.16</c:v>
                </c:pt>
                <c:pt idx="22">
                  <c:v>PKR 0.30</c:v>
                </c:pt>
                <c:pt idx="23">
                  <c:v>PKR 0.32</c:v>
                </c:pt>
                <c:pt idx="24">
                  <c:v>PKR 0.37</c:v>
                </c:pt>
                <c:pt idx="25">
                  <c:v>PKR 4.96</c:v>
                </c:pt>
                <c:pt idx="26">
                  <c:v>PKR 30.11</c:v>
                </c:pt>
                <c:pt idx="27">
                  <c:v>PKR 31.31</c:v>
                </c:pt>
                <c:pt idx="28">
                  <c:v>PKR 47.01</c:v>
                </c:pt>
                <c:pt idx="29">
                  <c:v>PKR 72.99</c:v>
                </c:pt>
                <c:pt idx="30">
                  <c:v>PKR 166.14</c:v>
                </c:pt>
                <c:pt idx="31">
                  <c:v>PKR 170.96</c:v>
                </c:pt>
                <c:pt idx="32">
                  <c:v>PKR 173.77</c:v>
                </c:pt>
                <c:pt idx="33">
                  <c:v>PKR 209.71</c:v>
                </c:pt>
              </c:strCache>
            </c:strRef>
          </c:cat>
          <c:val>
            <c:numRef>
              <c:f>'Pivot Table'!$B$16:$B$50</c:f>
              <c:numCache>
                <c:formatCode>General</c:formatCode>
                <c:ptCount val="34"/>
                <c:pt idx="0">
                  <c:v>910.31</c:v>
                </c:pt>
                <c:pt idx="1">
                  <c:v>882.62</c:v>
                </c:pt>
                <c:pt idx="2">
                  <c:v>1159.74</c:v>
                </c:pt>
                <c:pt idx="3">
                  <c:v>939.43</c:v>
                </c:pt>
                <c:pt idx="4">
                  <c:v>1785.14</c:v>
                </c:pt>
                <c:pt idx="5">
                  <c:v>1889.75</c:v>
                </c:pt>
                <c:pt idx="6">
                  <c:v>2414.09</c:v>
                </c:pt>
                <c:pt idx="7">
                  <c:v>1972.61</c:v>
                </c:pt>
                <c:pt idx="8">
                  <c:v>600.88</c:v>
                </c:pt>
                <c:pt idx="9">
                  <c:v>395.91</c:v>
                </c:pt>
                <c:pt idx="10">
                  <c:v>4395.58</c:v>
                </c:pt>
                <c:pt idx="11">
                  <c:v>2039.35</c:v>
                </c:pt>
                <c:pt idx="12">
                  <c:v>4392</c:v>
                </c:pt>
                <c:pt idx="13">
                  <c:v>1415.53</c:v>
                </c:pt>
                <c:pt idx="14">
                  <c:v>2579.04</c:v>
                </c:pt>
                <c:pt idx="15">
                  <c:v>1008.79</c:v>
                </c:pt>
                <c:pt idx="16">
                  <c:v>528.94000000000005</c:v>
                </c:pt>
                <c:pt idx="17">
                  <c:v>2851.16</c:v>
                </c:pt>
                <c:pt idx="18">
                  <c:v>722.69</c:v>
                </c:pt>
                <c:pt idx="19">
                  <c:v>746.33</c:v>
                </c:pt>
                <c:pt idx="20">
                  <c:v>705.34</c:v>
                </c:pt>
                <c:pt idx="21">
                  <c:v>944.29</c:v>
                </c:pt>
                <c:pt idx="22">
                  <c:v>2840.24</c:v>
                </c:pt>
                <c:pt idx="23">
                  <c:v>216.76</c:v>
                </c:pt>
                <c:pt idx="24">
                  <c:v>602.91999999999996</c:v>
                </c:pt>
                <c:pt idx="25">
                  <c:v>1994.82</c:v>
                </c:pt>
                <c:pt idx="26">
                  <c:v>140.44</c:v>
                </c:pt>
                <c:pt idx="27">
                  <c:v>219.14</c:v>
                </c:pt>
                <c:pt idx="28">
                  <c:v>141.03</c:v>
                </c:pt>
                <c:pt idx="29">
                  <c:v>1094.8499999999999</c:v>
                </c:pt>
                <c:pt idx="30">
                  <c:v>166.14</c:v>
                </c:pt>
                <c:pt idx="31">
                  <c:v>170.96</c:v>
                </c:pt>
                <c:pt idx="32">
                  <c:v>2085.25</c:v>
                </c:pt>
                <c:pt idx="33">
                  <c:v>419.41</c:v>
                </c:pt>
              </c:numCache>
            </c:numRef>
          </c:val>
          <c:extLst>
            <c:ext xmlns:c16="http://schemas.microsoft.com/office/drawing/2014/chart" uri="{C3380CC4-5D6E-409C-BE32-E72D297353CC}">
              <c16:uniqueId val="{00000000-348E-4DE1-8186-5B031528C9DD}"/>
            </c:ext>
          </c:extLst>
        </c:ser>
        <c:dLbls>
          <c:showLegendKey val="0"/>
          <c:showVal val="0"/>
          <c:showCatName val="0"/>
          <c:showSerName val="0"/>
          <c:showPercent val="0"/>
          <c:showBubbleSize val="0"/>
        </c:dLbls>
        <c:gapWidth val="219"/>
        <c:overlap val="100"/>
        <c:axId val="329005568"/>
        <c:axId val="457891456"/>
      </c:barChart>
      <c:valAx>
        <c:axId val="457891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005568"/>
        <c:crosses val="autoZero"/>
        <c:crossBetween val="between"/>
      </c:valAx>
      <c:catAx>
        <c:axId val="32900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914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Ads Report.xlsx]Pivot Table!PivotTable6</c:name>
    <c:fmtId val="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Table'!$E$15</c:f>
              <c:strCache>
                <c:ptCount val="1"/>
                <c:pt idx="0">
                  <c:v>Sum of Reach</c:v>
                </c:pt>
              </c:strCache>
            </c:strRef>
          </c:tx>
          <c:spPr>
            <a:solidFill>
              <a:schemeClr val="accent1"/>
            </a:solidFill>
            <a:ln>
              <a:noFill/>
            </a:ln>
            <a:effectLst/>
            <a:sp3d/>
          </c:spPr>
          <c:invertIfNegative val="0"/>
          <c:cat>
            <c:strRef>
              <c:f>'Pivot Table'!$D$16:$D$22</c:f>
              <c:strCache>
                <c:ptCount val="6"/>
                <c:pt idx="0">
                  <c:v>DHA Peshawar</c:v>
                </c:pt>
                <c:pt idx="1">
                  <c:v>Faisal Town 2</c:v>
                </c:pt>
                <c:pt idx="2">
                  <c:v>Hayatabad</c:v>
                </c:pt>
                <c:pt idx="3">
                  <c:v>Hyper Mall </c:v>
                </c:pt>
                <c:pt idx="4">
                  <c:v>P/Is</c:v>
                </c:pt>
                <c:pt idx="5">
                  <c:v>Paradise City </c:v>
                </c:pt>
              </c:strCache>
            </c:strRef>
          </c:cat>
          <c:val>
            <c:numRef>
              <c:f>'Pivot Table'!$E$16:$E$22</c:f>
              <c:numCache>
                <c:formatCode>General</c:formatCode>
                <c:ptCount val="6"/>
                <c:pt idx="0">
                  <c:v>74707</c:v>
                </c:pt>
                <c:pt idx="1">
                  <c:v>792769</c:v>
                </c:pt>
                <c:pt idx="2">
                  <c:v>83499</c:v>
                </c:pt>
                <c:pt idx="3">
                  <c:v>18295</c:v>
                </c:pt>
                <c:pt idx="4">
                  <c:v>2431</c:v>
                </c:pt>
                <c:pt idx="5">
                  <c:v>67012</c:v>
                </c:pt>
              </c:numCache>
            </c:numRef>
          </c:val>
          <c:extLst>
            <c:ext xmlns:c16="http://schemas.microsoft.com/office/drawing/2014/chart" uri="{C3380CC4-5D6E-409C-BE32-E72D297353CC}">
              <c16:uniqueId val="{00000000-1522-4F0E-A443-86ACFF1DB9A5}"/>
            </c:ext>
          </c:extLst>
        </c:ser>
        <c:ser>
          <c:idx val="1"/>
          <c:order val="1"/>
          <c:tx>
            <c:strRef>
              <c:f>'Pivot Table'!$F$15</c:f>
              <c:strCache>
                <c:ptCount val="1"/>
                <c:pt idx="0">
                  <c:v>Sum of Impressions</c:v>
                </c:pt>
              </c:strCache>
            </c:strRef>
          </c:tx>
          <c:spPr>
            <a:solidFill>
              <a:schemeClr val="accent2"/>
            </a:solidFill>
            <a:ln>
              <a:noFill/>
            </a:ln>
            <a:effectLst/>
            <a:sp3d/>
          </c:spPr>
          <c:invertIfNegative val="0"/>
          <c:cat>
            <c:strRef>
              <c:f>'Pivot Table'!$D$16:$D$22</c:f>
              <c:strCache>
                <c:ptCount val="6"/>
                <c:pt idx="0">
                  <c:v>DHA Peshawar</c:v>
                </c:pt>
                <c:pt idx="1">
                  <c:v>Faisal Town 2</c:v>
                </c:pt>
                <c:pt idx="2">
                  <c:v>Hayatabad</c:v>
                </c:pt>
                <c:pt idx="3">
                  <c:v>Hyper Mall </c:v>
                </c:pt>
                <c:pt idx="4">
                  <c:v>P/Is</c:v>
                </c:pt>
                <c:pt idx="5">
                  <c:v>Paradise City </c:v>
                </c:pt>
              </c:strCache>
            </c:strRef>
          </c:cat>
          <c:val>
            <c:numRef>
              <c:f>'Pivot Table'!$F$16:$F$22</c:f>
              <c:numCache>
                <c:formatCode>General</c:formatCode>
                <c:ptCount val="6"/>
                <c:pt idx="0">
                  <c:v>85595</c:v>
                </c:pt>
                <c:pt idx="1">
                  <c:v>969440</c:v>
                </c:pt>
                <c:pt idx="2">
                  <c:v>101277</c:v>
                </c:pt>
                <c:pt idx="3">
                  <c:v>20079</c:v>
                </c:pt>
                <c:pt idx="4">
                  <c:v>2647</c:v>
                </c:pt>
                <c:pt idx="5">
                  <c:v>80315</c:v>
                </c:pt>
              </c:numCache>
            </c:numRef>
          </c:val>
          <c:extLst>
            <c:ext xmlns:c16="http://schemas.microsoft.com/office/drawing/2014/chart" uri="{C3380CC4-5D6E-409C-BE32-E72D297353CC}">
              <c16:uniqueId val="{00000001-1522-4F0E-A443-86ACFF1DB9A5}"/>
            </c:ext>
          </c:extLst>
        </c:ser>
        <c:dLbls>
          <c:showLegendKey val="0"/>
          <c:showVal val="0"/>
          <c:showCatName val="0"/>
          <c:showSerName val="0"/>
          <c:showPercent val="0"/>
          <c:showBubbleSize val="0"/>
        </c:dLbls>
        <c:gapWidth val="150"/>
        <c:shape val="box"/>
        <c:axId val="329019568"/>
        <c:axId val="457892704"/>
        <c:axId val="464684048"/>
      </c:bar3DChart>
      <c:catAx>
        <c:axId val="329019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92704"/>
        <c:crosses val="autoZero"/>
        <c:auto val="1"/>
        <c:lblAlgn val="ctr"/>
        <c:lblOffset val="100"/>
        <c:noMultiLvlLbl val="0"/>
      </c:catAx>
      <c:valAx>
        <c:axId val="45789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019568"/>
        <c:crosses val="autoZero"/>
        <c:crossBetween val="between"/>
      </c:valAx>
      <c:serAx>
        <c:axId val="46468404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927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Ads Report.xlsx]Pivot Table!PivotTable7</c:name>
    <c:fmtId val="9"/>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Table'!$I$15</c:f>
              <c:strCache>
                <c:ptCount val="1"/>
                <c:pt idx="0">
                  <c:v>Sum of Awareness</c:v>
                </c:pt>
              </c:strCache>
            </c:strRef>
          </c:tx>
          <c:spPr>
            <a:solidFill>
              <a:schemeClr val="accent1"/>
            </a:solidFill>
            <a:ln>
              <a:noFill/>
            </a:ln>
            <a:effectLst/>
            <a:sp3d/>
          </c:spPr>
          <c:invertIfNegative val="0"/>
          <c:cat>
            <c:strRef>
              <c:f>'Pivot Table'!$H$16:$H$22</c:f>
              <c:strCache>
                <c:ptCount val="6"/>
                <c:pt idx="0">
                  <c:v>DHA Peshawar</c:v>
                </c:pt>
                <c:pt idx="1">
                  <c:v>Faisal Town 2</c:v>
                </c:pt>
                <c:pt idx="2">
                  <c:v>Hayatabad</c:v>
                </c:pt>
                <c:pt idx="3">
                  <c:v>Hyper Mall </c:v>
                </c:pt>
                <c:pt idx="4">
                  <c:v>P/Is</c:v>
                </c:pt>
                <c:pt idx="5">
                  <c:v>Paradise City </c:v>
                </c:pt>
              </c:strCache>
            </c:strRef>
          </c:cat>
          <c:val>
            <c:numRef>
              <c:f>'Pivot Table'!$I$16:$I$22</c:f>
              <c:numCache>
                <c:formatCode>General</c:formatCode>
                <c:ptCount val="6"/>
                <c:pt idx="1">
                  <c:v>2</c:v>
                </c:pt>
              </c:numCache>
            </c:numRef>
          </c:val>
          <c:extLst>
            <c:ext xmlns:c16="http://schemas.microsoft.com/office/drawing/2014/chart" uri="{C3380CC4-5D6E-409C-BE32-E72D297353CC}">
              <c16:uniqueId val="{00000000-9A4C-4B08-BE0C-3A0238D70D1A}"/>
            </c:ext>
          </c:extLst>
        </c:ser>
        <c:ser>
          <c:idx val="1"/>
          <c:order val="1"/>
          <c:tx>
            <c:strRef>
              <c:f>'Pivot Table'!$J$15</c:f>
              <c:strCache>
                <c:ptCount val="1"/>
                <c:pt idx="0">
                  <c:v>Sum of Leads</c:v>
                </c:pt>
              </c:strCache>
            </c:strRef>
          </c:tx>
          <c:spPr>
            <a:solidFill>
              <a:schemeClr val="accent2"/>
            </a:solidFill>
            <a:ln>
              <a:noFill/>
            </a:ln>
            <a:effectLst/>
            <a:sp3d/>
          </c:spPr>
          <c:invertIfNegative val="0"/>
          <c:cat>
            <c:strRef>
              <c:f>'Pivot Table'!$H$16:$H$22</c:f>
              <c:strCache>
                <c:ptCount val="6"/>
                <c:pt idx="0">
                  <c:v>DHA Peshawar</c:v>
                </c:pt>
                <c:pt idx="1">
                  <c:v>Faisal Town 2</c:v>
                </c:pt>
                <c:pt idx="2">
                  <c:v>Hayatabad</c:v>
                </c:pt>
                <c:pt idx="3">
                  <c:v>Hyper Mall </c:v>
                </c:pt>
                <c:pt idx="4">
                  <c:v>P/Is</c:v>
                </c:pt>
                <c:pt idx="5">
                  <c:v>Paradise City </c:v>
                </c:pt>
              </c:strCache>
            </c:strRef>
          </c:cat>
          <c:val>
            <c:numRef>
              <c:f>'Pivot Table'!$J$16:$J$22</c:f>
              <c:numCache>
                <c:formatCode>General</c:formatCode>
                <c:ptCount val="6"/>
                <c:pt idx="5">
                  <c:v>12</c:v>
                </c:pt>
              </c:numCache>
            </c:numRef>
          </c:val>
          <c:extLst>
            <c:ext xmlns:c16="http://schemas.microsoft.com/office/drawing/2014/chart" uri="{C3380CC4-5D6E-409C-BE32-E72D297353CC}">
              <c16:uniqueId val="{00000001-9A4C-4B08-BE0C-3A0238D70D1A}"/>
            </c:ext>
          </c:extLst>
        </c:ser>
        <c:dLbls>
          <c:showLegendKey val="0"/>
          <c:showVal val="0"/>
          <c:showCatName val="0"/>
          <c:showSerName val="0"/>
          <c:showPercent val="0"/>
          <c:showBubbleSize val="0"/>
        </c:dLbls>
        <c:gapWidth val="150"/>
        <c:shape val="box"/>
        <c:axId val="462304976"/>
        <c:axId val="457870656"/>
        <c:axId val="0"/>
      </c:bar3DChart>
      <c:catAx>
        <c:axId val="462304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70656"/>
        <c:crosses val="autoZero"/>
        <c:auto val="1"/>
        <c:lblAlgn val="ctr"/>
        <c:lblOffset val="100"/>
        <c:noMultiLvlLbl val="0"/>
      </c:catAx>
      <c:valAx>
        <c:axId val="457870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30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Ads Report.xlsx]Pivot Table!PivotTable8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Table'!$M$15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0D2-4C81-AB5D-BB8434270BE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0D2-4C81-AB5D-BB8434270BE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0D2-4C81-AB5D-BB8434270BE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0D2-4C81-AB5D-BB8434270BE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0D2-4C81-AB5D-BB8434270BE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0D2-4C81-AB5D-BB8434270BE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0D2-4C81-AB5D-BB8434270BE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D0D2-4C81-AB5D-BB8434270BE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D0D2-4C81-AB5D-BB8434270BE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D0D2-4C81-AB5D-BB8434270BE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D0D2-4C81-AB5D-BB8434270BEA}"/>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D0D2-4C81-AB5D-BB8434270BEA}"/>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D0D2-4C81-AB5D-BB8434270BEA}"/>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D0D2-4C81-AB5D-BB8434270BEA}"/>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D0D2-4C81-AB5D-BB8434270BEA}"/>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D0D2-4C81-AB5D-BB8434270BEA}"/>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D0D2-4C81-AB5D-BB8434270BEA}"/>
              </c:ext>
            </c:extLst>
          </c:dPt>
          <c:cat>
            <c:strRef>
              <c:f>'Pivot Table'!$L$16:$L$33</c:f>
              <c:strCache>
                <c:ptCount val="17"/>
                <c:pt idx="0">
                  <c:v>13/2</c:v>
                </c:pt>
                <c:pt idx="1">
                  <c:v>15/2</c:v>
                </c:pt>
                <c:pt idx="2">
                  <c:v>16/2</c:v>
                </c:pt>
                <c:pt idx="3">
                  <c:v>18/2</c:v>
                </c:pt>
                <c:pt idx="4">
                  <c:v>20/2</c:v>
                </c:pt>
                <c:pt idx="5">
                  <c:v>21/2</c:v>
                </c:pt>
                <c:pt idx="6">
                  <c:v>22/2</c:v>
                </c:pt>
                <c:pt idx="7">
                  <c:v>23/2</c:v>
                </c:pt>
                <c:pt idx="8">
                  <c:v>24/2</c:v>
                </c:pt>
                <c:pt idx="9">
                  <c:v>26/2</c:v>
                </c:pt>
                <c:pt idx="10">
                  <c:v>27/2</c:v>
                </c:pt>
                <c:pt idx="11">
                  <c:v>28/2</c:v>
                </c:pt>
                <c:pt idx="12">
                  <c:v>3/3/2026</c:v>
                </c:pt>
                <c:pt idx="13">
                  <c:v>3/4/2026</c:v>
                </c:pt>
                <c:pt idx="14">
                  <c:v>3/5/2026</c:v>
                </c:pt>
                <c:pt idx="15">
                  <c:v>3/8/2026</c:v>
                </c:pt>
                <c:pt idx="16">
                  <c:v>3/12/2026</c:v>
                </c:pt>
              </c:strCache>
            </c:strRef>
          </c:cat>
          <c:val>
            <c:numRef>
              <c:f>'Pivot Table'!$M$16:$M$33</c:f>
              <c:numCache>
                <c:formatCode>General</c:formatCode>
                <c:ptCount val="17"/>
                <c:pt idx="0">
                  <c:v>281.47000000000003</c:v>
                </c:pt>
                <c:pt idx="1">
                  <c:v>944.29</c:v>
                </c:pt>
                <c:pt idx="2">
                  <c:v>910.31</c:v>
                </c:pt>
                <c:pt idx="3">
                  <c:v>602.91999999999996</c:v>
                </c:pt>
                <c:pt idx="4">
                  <c:v>2840.24</c:v>
                </c:pt>
                <c:pt idx="5">
                  <c:v>219.14</c:v>
                </c:pt>
                <c:pt idx="6">
                  <c:v>10047.69</c:v>
                </c:pt>
                <c:pt idx="7">
                  <c:v>1994.82</c:v>
                </c:pt>
                <c:pt idx="8">
                  <c:v>924.85000000000014</c:v>
                </c:pt>
                <c:pt idx="9">
                  <c:v>5430.2</c:v>
                </c:pt>
                <c:pt idx="10">
                  <c:v>1889.75</c:v>
                </c:pt>
                <c:pt idx="11">
                  <c:v>2085.25</c:v>
                </c:pt>
                <c:pt idx="12">
                  <c:v>166.14</c:v>
                </c:pt>
                <c:pt idx="13">
                  <c:v>170.96</c:v>
                </c:pt>
                <c:pt idx="14">
                  <c:v>1094.8499999999999</c:v>
                </c:pt>
                <c:pt idx="15">
                  <c:v>216.76</c:v>
                </c:pt>
                <c:pt idx="16">
                  <c:v>15551.840000000002</c:v>
                </c:pt>
              </c:numCache>
            </c:numRef>
          </c:val>
          <c:extLst>
            <c:ext xmlns:c16="http://schemas.microsoft.com/office/drawing/2014/chart" uri="{C3380CC4-5D6E-409C-BE32-E72D297353CC}">
              <c16:uniqueId val="{00000000-2EA8-48AE-A07F-E2D46B62900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Ads Report.xlsx]Pivot Table!PivotTable7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Leads</a:t>
            </a:r>
          </a:p>
        </c:rich>
      </c:tx>
      <c:layout>
        <c:manualLayout>
          <c:xMode val="edge"/>
          <c:yMode val="edge"/>
          <c:x val="0.4045632040738944"/>
          <c:y val="0"/>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Table'!$I$15</c:f>
              <c:strCache>
                <c:ptCount val="1"/>
                <c:pt idx="0">
                  <c:v>Sum of Awareness</c:v>
                </c:pt>
              </c:strCache>
            </c:strRef>
          </c:tx>
          <c:spPr>
            <a:solidFill>
              <a:schemeClr val="accent1"/>
            </a:solidFill>
            <a:ln>
              <a:noFill/>
            </a:ln>
            <a:effectLst/>
            <a:sp3d/>
          </c:spPr>
          <c:invertIfNegative val="0"/>
          <c:cat>
            <c:strRef>
              <c:f>'Pivot Table'!$H$16:$H$22</c:f>
              <c:strCache>
                <c:ptCount val="6"/>
                <c:pt idx="0">
                  <c:v>DHA Peshawar</c:v>
                </c:pt>
                <c:pt idx="1">
                  <c:v>Faisal Town 2</c:v>
                </c:pt>
                <c:pt idx="2">
                  <c:v>Hayatabad</c:v>
                </c:pt>
                <c:pt idx="3">
                  <c:v>Hyper Mall </c:v>
                </c:pt>
                <c:pt idx="4">
                  <c:v>P/Is</c:v>
                </c:pt>
                <c:pt idx="5">
                  <c:v>Paradise City </c:v>
                </c:pt>
              </c:strCache>
            </c:strRef>
          </c:cat>
          <c:val>
            <c:numRef>
              <c:f>'Pivot Table'!$I$16:$I$22</c:f>
              <c:numCache>
                <c:formatCode>General</c:formatCode>
                <c:ptCount val="6"/>
                <c:pt idx="1">
                  <c:v>2</c:v>
                </c:pt>
              </c:numCache>
            </c:numRef>
          </c:val>
          <c:extLst>
            <c:ext xmlns:c16="http://schemas.microsoft.com/office/drawing/2014/chart" uri="{C3380CC4-5D6E-409C-BE32-E72D297353CC}">
              <c16:uniqueId val="{00000000-BE94-432E-BB5A-697D02F14A29}"/>
            </c:ext>
          </c:extLst>
        </c:ser>
        <c:ser>
          <c:idx val="1"/>
          <c:order val="1"/>
          <c:tx>
            <c:strRef>
              <c:f>'Pivot Table'!$J$15</c:f>
              <c:strCache>
                <c:ptCount val="1"/>
                <c:pt idx="0">
                  <c:v>Sum of Leads</c:v>
                </c:pt>
              </c:strCache>
            </c:strRef>
          </c:tx>
          <c:spPr>
            <a:solidFill>
              <a:schemeClr val="accent2"/>
            </a:solidFill>
            <a:ln>
              <a:noFill/>
            </a:ln>
            <a:effectLst/>
            <a:sp3d/>
          </c:spPr>
          <c:invertIfNegative val="0"/>
          <c:cat>
            <c:strRef>
              <c:f>'Pivot Table'!$H$16:$H$22</c:f>
              <c:strCache>
                <c:ptCount val="6"/>
                <c:pt idx="0">
                  <c:v>DHA Peshawar</c:v>
                </c:pt>
                <c:pt idx="1">
                  <c:v>Faisal Town 2</c:v>
                </c:pt>
                <c:pt idx="2">
                  <c:v>Hayatabad</c:v>
                </c:pt>
                <c:pt idx="3">
                  <c:v>Hyper Mall </c:v>
                </c:pt>
                <c:pt idx="4">
                  <c:v>P/Is</c:v>
                </c:pt>
                <c:pt idx="5">
                  <c:v>Paradise City </c:v>
                </c:pt>
              </c:strCache>
            </c:strRef>
          </c:cat>
          <c:val>
            <c:numRef>
              <c:f>'Pivot Table'!$J$16:$J$22</c:f>
              <c:numCache>
                <c:formatCode>General</c:formatCode>
                <c:ptCount val="6"/>
                <c:pt idx="5">
                  <c:v>12</c:v>
                </c:pt>
              </c:numCache>
            </c:numRef>
          </c:val>
          <c:extLst>
            <c:ext xmlns:c16="http://schemas.microsoft.com/office/drawing/2014/chart" uri="{C3380CC4-5D6E-409C-BE32-E72D297353CC}">
              <c16:uniqueId val="{00000001-BE94-432E-BB5A-697D02F14A29}"/>
            </c:ext>
          </c:extLst>
        </c:ser>
        <c:dLbls>
          <c:showLegendKey val="0"/>
          <c:showVal val="0"/>
          <c:showCatName val="0"/>
          <c:showSerName val="0"/>
          <c:showPercent val="0"/>
          <c:showBubbleSize val="0"/>
        </c:dLbls>
        <c:gapWidth val="150"/>
        <c:shape val="box"/>
        <c:axId val="462304976"/>
        <c:axId val="457870656"/>
        <c:axId val="0"/>
      </c:bar3DChart>
      <c:catAx>
        <c:axId val="4623049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70656"/>
        <c:crosses val="autoZero"/>
        <c:auto val="1"/>
        <c:lblAlgn val="ctr"/>
        <c:lblOffset val="100"/>
        <c:noMultiLvlLbl val="0"/>
      </c:catAx>
      <c:valAx>
        <c:axId val="4578706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304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Ads Report.xlsx]Pivot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Reach</a:t>
            </a:r>
            <a:r>
              <a:rPr lang="en-US" b="1" baseline="0">
                <a:solidFill>
                  <a:schemeClr val="tx1"/>
                </a:solidFill>
              </a:rPr>
              <a:t> &amp; Impressions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Table'!$E$15</c:f>
              <c:strCache>
                <c:ptCount val="1"/>
                <c:pt idx="0">
                  <c:v>Sum of Reach</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Table'!$D$16:$D$22</c:f>
              <c:strCache>
                <c:ptCount val="6"/>
                <c:pt idx="0">
                  <c:v>DHA Peshawar</c:v>
                </c:pt>
                <c:pt idx="1">
                  <c:v>Faisal Town 2</c:v>
                </c:pt>
                <c:pt idx="2">
                  <c:v>Hayatabad</c:v>
                </c:pt>
                <c:pt idx="3">
                  <c:v>Hyper Mall </c:v>
                </c:pt>
                <c:pt idx="4">
                  <c:v>P/Is</c:v>
                </c:pt>
                <c:pt idx="5">
                  <c:v>Paradise City </c:v>
                </c:pt>
              </c:strCache>
            </c:strRef>
          </c:cat>
          <c:val>
            <c:numRef>
              <c:f>'Pivot Table'!$E$16:$E$22</c:f>
              <c:numCache>
                <c:formatCode>General</c:formatCode>
                <c:ptCount val="6"/>
                <c:pt idx="0">
                  <c:v>74707</c:v>
                </c:pt>
                <c:pt idx="1">
                  <c:v>792769</c:v>
                </c:pt>
                <c:pt idx="2">
                  <c:v>83499</c:v>
                </c:pt>
                <c:pt idx="3">
                  <c:v>18295</c:v>
                </c:pt>
                <c:pt idx="4">
                  <c:v>2431</c:v>
                </c:pt>
                <c:pt idx="5">
                  <c:v>67012</c:v>
                </c:pt>
              </c:numCache>
            </c:numRef>
          </c:val>
          <c:extLst>
            <c:ext xmlns:c16="http://schemas.microsoft.com/office/drawing/2014/chart" uri="{C3380CC4-5D6E-409C-BE32-E72D297353CC}">
              <c16:uniqueId val="{00000000-9A5A-45CC-AE9E-8E4F15CB8051}"/>
            </c:ext>
          </c:extLst>
        </c:ser>
        <c:ser>
          <c:idx val="1"/>
          <c:order val="1"/>
          <c:tx>
            <c:strRef>
              <c:f>'Pivot Table'!$F$15</c:f>
              <c:strCache>
                <c:ptCount val="1"/>
                <c:pt idx="0">
                  <c:v>Sum of Impressions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Table'!$D$16:$D$22</c:f>
              <c:strCache>
                <c:ptCount val="6"/>
                <c:pt idx="0">
                  <c:v>DHA Peshawar</c:v>
                </c:pt>
                <c:pt idx="1">
                  <c:v>Faisal Town 2</c:v>
                </c:pt>
                <c:pt idx="2">
                  <c:v>Hayatabad</c:v>
                </c:pt>
                <c:pt idx="3">
                  <c:v>Hyper Mall </c:v>
                </c:pt>
                <c:pt idx="4">
                  <c:v>P/Is</c:v>
                </c:pt>
                <c:pt idx="5">
                  <c:v>Paradise City </c:v>
                </c:pt>
              </c:strCache>
            </c:strRef>
          </c:cat>
          <c:val>
            <c:numRef>
              <c:f>'Pivot Table'!$F$16:$F$22</c:f>
              <c:numCache>
                <c:formatCode>General</c:formatCode>
                <c:ptCount val="6"/>
                <c:pt idx="0">
                  <c:v>85595</c:v>
                </c:pt>
                <c:pt idx="1">
                  <c:v>969440</c:v>
                </c:pt>
                <c:pt idx="2">
                  <c:v>101277</c:v>
                </c:pt>
                <c:pt idx="3">
                  <c:v>20079</c:v>
                </c:pt>
                <c:pt idx="4">
                  <c:v>2647</c:v>
                </c:pt>
                <c:pt idx="5">
                  <c:v>80315</c:v>
                </c:pt>
              </c:numCache>
            </c:numRef>
          </c:val>
          <c:extLst>
            <c:ext xmlns:c16="http://schemas.microsoft.com/office/drawing/2014/chart" uri="{C3380CC4-5D6E-409C-BE32-E72D297353CC}">
              <c16:uniqueId val="{00000001-9A5A-45CC-AE9E-8E4F15CB8051}"/>
            </c:ext>
          </c:extLst>
        </c:ser>
        <c:dLbls>
          <c:showLegendKey val="0"/>
          <c:showVal val="1"/>
          <c:showCatName val="0"/>
          <c:showSerName val="0"/>
          <c:showPercent val="0"/>
          <c:showBubbleSize val="0"/>
        </c:dLbls>
        <c:gapWidth val="150"/>
        <c:shape val="box"/>
        <c:axId val="329019568"/>
        <c:axId val="457892704"/>
        <c:axId val="464684048"/>
      </c:bar3DChart>
      <c:catAx>
        <c:axId val="329019568"/>
        <c:scaling>
          <c:orientation val="minMax"/>
        </c:scaling>
        <c:delete val="1"/>
        <c:axPos val="b"/>
        <c:numFmt formatCode="General" sourceLinked="1"/>
        <c:majorTickMark val="out"/>
        <c:minorTickMark val="none"/>
        <c:tickLblPos val="nextTo"/>
        <c:crossAx val="457892704"/>
        <c:crosses val="autoZero"/>
        <c:auto val="1"/>
        <c:lblAlgn val="ctr"/>
        <c:lblOffset val="100"/>
        <c:noMultiLvlLbl val="0"/>
      </c:catAx>
      <c:valAx>
        <c:axId val="457892704"/>
        <c:scaling>
          <c:orientation val="minMax"/>
        </c:scaling>
        <c:delete val="1"/>
        <c:axPos val="l"/>
        <c:numFmt formatCode="General" sourceLinked="1"/>
        <c:majorTickMark val="out"/>
        <c:minorTickMark val="none"/>
        <c:tickLblPos val="nextTo"/>
        <c:crossAx val="329019568"/>
        <c:crosses val="autoZero"/>
        <c:crossBetween val="between"/>
      </c:valAx>
      <c:serAx>
        <c:axId val="464684048"/>
        <c:scaling>
          <c:orientation val="minMax"/>
        </c:scaling>
        <c:delete val="1"/>
        <c:axPos val="b"/>
        <c:majorTickMark val="out"/>
        <c:minorTickMark val="none"/>
        <c:tickLblPos val="nextTo"/>
        <c:crossAx val="45789270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Ads Report.xlsx]Pivot Table!PivotTable8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Spend</a:t>
            </a:r>
          </a:p>
        </c:rich>
      </c:tx>
      <c:layout>
        <c:manualLayout>
          <c:xMode val="edge"/>
          <c:yMode val="edge"/>
          <c:x val="0.3703665515839580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Table'!$M$15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D4C-4975-839F-CCC9111A9AA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D4C-4975-839F-CCC9111A9AA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D4C-4975-839F-CCC9111A9AA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D4C-4975-839F-CCC9111A9AA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D4C-4975-839F-CCC9111A9AA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D4C-4975-839F-CCC9111A9AA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FD4C-4975-839F-CCC9111A9AAF}"/>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FD4C-4975-839F-CCC9111A9AAF}"/>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FD4C-4975-839F-CCC9111A9AAF}"/>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FD4C-4975-839F-CCC9111A9AAF}"/>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FD4C-4975-839F-CCC9111A9AAF}"/>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FD4C-4975-839F-CCC9111A9AAF}"/>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FD4C-4975-839F-CCC9111A9AAF}"/>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FD4C-4975-839F-CCC9111A9AAF}"/>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FD4C-4975-839F-CCC9111A9AAF}"/>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FD4C-4975-839F-CCC9111A9AAF}"/>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FD4C-4975-839F-CCC9111A9A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Table'!$L$16:$L$33</c:f>
              <c:strCache>
                <c:ptCount val="17"/>
                <c:pt idx="0">
                  <c:v>13/2</c:v>
                </c:pt>
                <c:pt idx="1">
                  <c:v>15/2</c:v>
                </c:pt>
                <c:pt idx="2">
                  <c:v>16/2</c:v>
                </c:pt>
                <c:pt idx="3">
                  <c:v>18/2</c:v>
                </c:pt>
                <c:pt idx="4">
                  <c:v>20/2</c:v>
                </c:pt>
                <c:pt idx="5">
                  <c:v>21/2</c:v>
                </c:pt>
                <c:pt idx="6">
                  <c:v>22/2</c:v>
                </c:pt>
                <c:pt idx="7">
                  <c:v>23/2</c:v>
                </c:pt>
                <c:pt idx="8">
                  <c:v>24/2</c:v>
                </c:pt>
                <c:pt idx="9">
                  <c:v>26/2</c:v>
                </c:pt>
                <c:pt idx="10">
                  <c:v>27/2</c:v>
                </c:pt>
                <c:pt idx="11">
                  <c:v>28/2</c:v>
                </c:pt>
                <c:pt idx="12">
                  <c:v>3/3/2026</c:v>
                </c:pt>
                <c:pt idx="13">
                  <c:v>3/4/2026</c:v>
                </c:pt>
                <c:pt idx="14">
                  <c:v>3/5/2026</c:v>
                </c:pt>
                <c:pt idx="15">
                  <c:v>3/8/2026</c:v>
                </c:pt>
                <c:pt idx="16">
                  <c:v>3/12/2026</c:v>
                </c:pt>
              </c:strCache>
            </c:strRef>
          </c:cat>
          <c:val>
            <c:numRef>
              <c:f>'Pivot Table'!$M$16:$M$33</c:f>
              <c:numCache>
                <c:formatCode>General</c:formatCode>
                <c:ptCount val="17"/>
                <c:pt idx="0">
                  <c:v>281.47000000000003</c:v>
                </c:pt>
                <c:pt idx="1">
                  <c:v>944.29</c:v>
                </c:pt>
                <c:pt idx="2">
                  <c:v>910.31</c:v>
                </c:pt>
                <c:pt idx="3">
                  <c:v>602.91999999999996</c:v>
                </c:pt>
                <c:pt idx="4">
                  <c:v>2840.24</c:v>
                </c:pt>
                <c:pt idx="5">
                  <c:v>219.14</c:v>
                </c:pt>
                <c:pt idx="6">
                  <c:v>10047.69</c:v>
                </c:pt>
                <c:pt idx="7">
                  <c:v>1994.82</c:v>
                </c:pt>
                <c:pt idx="8">
                  <c:v>924.85000000000014</c:v>
                </c:pt>
                <c:pt idx="9">
                  <c:v>5430.2</c:v>
                </c:pt>
                <c:pt idx="10">
                  <c:v>1889.75</c:v>
                </c:pt>
                <c:pt idx="11">
                  <c:v>2085.25</c:v>
                </c:pt>
                <c:pt idx="12">
                  <c:v>166.14</c:v>
                </c:pt>
                <c:pt idx="13">
                  <c:v>170.96</c:v>
                </c:pt>
                <c:pt idx="14">
                  <c:v>1094.8499999999999</c:v>
                </c:pt>
                <c:pt idx="15">
                  <c:v>216.76</c:v>
                </c:pt>
                <c:pt idx="16">
                  <c:v>15551.840000000002</c:v>
                </c:pt>
              </c:numCache>
            </c:numRef>
          </c:val>
          <c:extLst>
            <c:ext xmlns:c16="http://schemas.microsoft.com/office/drawing/2014/chart" uri="{C3380CC4-5D6E-409C-BE32-E72D297353CC}">
              <c16:uniqueId val="{00000022-FD4C-4975-839F-CCC9111A9AAF}"/>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Ads Report.xlsx]Pivot Table!PivotTable5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Cost</a:t>
            </a:r>
            <a:r>
              <a:rPr lang="en-US" b="1" baseline="0">
                <a:solidFill>
                  <a:sysClr val="windowText" lastClr="000000"/>
                </a:solidFill>
              </a:rPr>
              <a:t> Per Eng</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stacked"/>
        <c:varyColors val="0"/>
        <c:ser>
          <c:idx val="0"/>
          <c:order val="0"/>
          <c:tx>
            <c:strRef>
              <c:f>'Pivot Table'!$B$15</c:f>
              <c:strCache>
                <c:ptCount val="1"/>
                <c:pt idx="0">
                  <c:v>Total</c:v>
                </c:pt>
              </c:strCache>
            </c:strRef>
          </c:tx>
          <c:spPr>
            <a:solidFill>
              <a:schemeClr val="accent1"/>
            </a:solidFill>
            <a:ln>
              <a:noFill/>
            </a:ln>
            <a:effectLst/>
          </c:spPr>
          <c:invertIfNegative val="0"/>
          <c:cat>
            <c:strRef>
              <c:f>'Pivot Table'!$A$16:$A$50</c:f>
              <c:strCache>
                <c:ptCount val="34"/>
                <c:pt idx="0">
                  <c:v>PKR 0.02</c:v>
                </c:pt>
                <c:pt idx="1">
                  <c:v>PKR 0.02</c:v>
                </c:pt>
                <c:pt idx="2">
                  <c:v>PKR 0.02</c:v>
                </c:pt>
                <c:pt idx="3">
                  <c:v>PKR 0.03</c:v>
                </c:pt>
                <c:pt idx="4">
                  <c:v>PKR 0.04</c:v>
                </c:pt>
                <c:pt idx="5">
                  <c:v>PKR 0.04</c:v>
                </c:pt>
                <c:pt idx="6">
                  <c:v>PKR 0.04</c:v>
                </c:pt>
                <c:pt idx="7">
                  <c:v>PKR 0.05</c:v>
                </c:pt>
                <c:pt idx="8">
                  <c:v>PKR 0.05</c:v>
                </c:pt>
                <c:pt idx="9">
                  <c:v>PKR 0.05</c:v>
                </c:pt>
                <c:pt idx="10">
                  <c:v>PKR 0.05</c:v>
                </c:pt>
                <c:pt idx="11">
                  <c:v>PKR 0.05</c:v>
                </c:pt>
                <c:pt idx="12">
                  <c:v>PKR 0.05</c:v>
                </c:pt>
                <c:pt idx="13">
                  <c:v>PKR 0.06</c:v>
                </c:pt>
                <c:pt idx="14">
                  <c:v>PKR 0.06</c:v>
                </c:pt>
                <c:pt idx="15">
                  <c:v>PKR 0.06</c:v>
                </c:pt>
                <c:pt idx="16">
                  <c:v>PKR 0.07</c:v>
                </c:pt>
                <c:pt idx="17">
                  <c:v>PKR 0.08</c:v>
                </c:pt>
                <c:pt idx="18">
                  <c:v>PKR 0.08</c:v>
                </c:pt>
                <c:pt idx="19">
                  <c:v>PKR 0.09</c:v>
                </c:pt>
                <c:pt idx="20">
                  <c:v>PKR 0.11</c:v>
                </c:pt>
                <c:pt idx="21">
                  <c:v>PKR 0.16</c:v>
                </c:pt>
                <c:pt idx="22">
                  <c:v>PKR 0.30</c:v>
                </c:pt>
                <c:pt idx="23">
                  <c:v>PKR 0.32</c:v>
                </c:pt>
                <c:pt idx="24">
                  <c:v>PKR 0.37</c:v>
                </c:pt>
                <c:pt idx="25">
                  <c:v>PKR 4.96</c:v>
                </c:pt>
                <c:pt idx="26">
                  <c:v>PKR 30.11</c:v>
                </c:pt>
                <c:pt idx="27">
                  <c:v>PKR 31.31</c:v>
                </c:pt>
                <c:pt idx="28">
                  <c:v>PKR 47.01</c:v>
                </c:pt>
                <c:pt idx="29">
                  <c:v>PKR 72.99</c:v>
                </c:pt>
                <c:pt idx="30">
                  <c:v>PKR 166.14</c:v>
                </c:pt>
                <c:pt idx="31">
                  <c:v>PKR 170.96</c:v>
                </c:pt>
                <c:pt idx="32">
                  <c:v>PKR 173.77</c:v>
                </c:pt>
                <c:pt idx="33">
                  <c:v>PKR 209.71</c:v>
                </c:pt>
              </c:strCache>
            </c:strRef>
          </c:cat>
          <c:val>
            <c:numRef>
              <c:f>'Pivot Table'!$B$16:$B$50</c:f>
              <c:numCache>
                <c:formatCode>General</c:formatCode>
                <c:ptCount val="34"/>
                <c:pt idx="0">
                  <c:v>910.31</c:v>
                </c:pt>
                <c:pt idx="1">
                  <c:v>882.62</c:v>
                </c:pt>
                <c:pt idx="2">
                  <c:v>1159.74</c:v>
                </c:pt>
                <c:pt idx="3">
                  <c:v>939.43</c:v>
                </c:pt>
                <c:pt idx="4">
                  <c:v>1785.14</c:v>
                </c:pt>
                <c:pt idx="5">
                  <c:v>1889.75</c:v>
                </c:pt>
                <c:pt idx="6">
                  <c:v>2414.09</c:v>
                </c:pt>
                <c:pt idx="7">
                  <c:v>1972.61</c:v>
                </c:pt>
                <c:pt idx="8">
                  <c:v>600.88</c:v>
                </c:pt>
                <c:pt idx="9">
                  <c:v>395.91</c:v>
                </c:pt>
                <c:pt idx="10">
                  <c:v>4395.58</c:v>
                </c:pt>
                <c:pt idx="11">
                  <c:v>2039.35</c:v>
                </c:pt>
                <c:pt idx="12">
                  <c:v>4392</c:v>
                </c:pt>
                <c:pt idx="13">
                  <c:v>1415.53</c:v>
                </c:pt>
                <c:pt idx="14">
                  <c:v>2579.04</c:v>
                </c:pt>
                <c:pt idx="15">
                  <c:v>1008.79</c:v>
                </c:pt>
                <c:pt idx="16">
                  <c:v>528.94000000000005</c:v>
                </c:pt>
                <c:pt idx="17">
                  <c:v>2851.16</c:v>
                </c:pt>
                <c:pt idx="18">
                  <c:v>722.69</c:v>
                </c:pt>
                <c:pt idx="19">
                  <c:v>746.33</c:v>
                </c:pt>
                <c:pt idx="20">
                  <c:v>705.34</c:v>
                </c:pt>
                <c:pt idx="21">
                  <c:v>944.29</c:v>
                </c:pt>
                <c:pt idx="22">
                  <c:v>2840.24</c:v>
                </c:pt>
                <c:pt idx="23">
                  <c:v>216.76</c:v>
                </c:pt>
                <c:pt idx="24">
                  <c:v>602.91999999999996</c:v>
                </c:pt>
                <c:pt idx="25">
                  <c:v>1994.82</c:v>
                </c:pt>
                <c:pt idx="26">
                  <c:v>140.44</c:v>
                </c:pt>
                <c:pt idx="27">
                  <c:v>219.14</c:v>
                </c:pt>
                <c:pt idx="28">
                  <c:v>141.03</c:v>
                </c:pt>
                <c:pt idx="29">
                  <c:v>1094.8499999999999</c:v>
                </c:pt>
                <c:pt idx="30">
                  <c:v>166.14</c:v>
                </c:pt>
                <c:pt idx="31">
                  <c:v>170.96</c:v>
                </c:pt>
                <c:pt idx="32">
                  <c:v>2085.25</c:v>
                </c:pt>
                <c:pt idx="33">
                  <c:v>419.41</c:v>
                </c:pt>
              </c:numCache>
            </c:numRef>
          </c:val>
          <c:extLst>
            <c:ext xmlns:c16="http://schemas.microsoft.com/office/drawing/2014/chart" uri="{C3380CC4-5D6E-409C-BE32-E72D297353CC}">
              <c16:uniqueId val="{00000000-4284-4710-A8C6-5F0A876A158D}"/>
            </c:ext>
          </c:extLst>
        </c:ser>
        <c:dLbls>
          <c:showLegendKey val="0"/>
          <c:showVal val="0"/>
          <c:showCatName val="0"/>
          <c:showSerName val="0"/>
          <c:showPercent val="0"/>
          <c:showBubbleSize val="0"/>
        </c:dLbls>
        <c:gapWidth val="219"/>
        <c:overlap val="100"/>
        <c:axId val="329005568"/>
        <c:axId val="457891456"/>
      </c:barChart>
      <c:valAx>
        <c:axId val="457891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005568"/>
        <c:crosses val="autoZero"/>
        <c:crossBetween val="between"/>
      </c:valAx>
      <c:catAx>
        <c:axId val="32900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9145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5</xdr:col>
      <xdr:colOff>1076325</xdr:colOff>
      <xdr:row>33</xdr:row>
      <xdr:rowOff>161925</xdr:rowOff>
    </xdr:from>
    <xdr:to>
      <xdr:col>8</xdr:col>
      <xdr:colOff>123825</xdr:colOff>
      <xdr:row>50</xdr:row>
      <xdr:rowOff>76200</xdr:rowOff>
    </xdr:to>
    <mc:AlternateContent xmlns:mc="http://schemas.openxmlformats.org/markup-compatibility/2006" xmlns:a14="http://schemas.microsoft.com/office/drawing/2010/main">
      <mc:Choice Requires="a14">
        <xdr:graphicFrame macro="">
          <xdr:nvGraphicFramePr>
            <xdr:cNvPr id="8" name="Date">
              <a:extLst>
                <a:ext uri="{FF2B5EF4-FFF2-40B4-BE49-F238E27FC236}">
                  <a16:creationId xmlns:a16="http://schemas.microsoft.com/office/drawing/2014/main" id="{A5A80145-EB16-47D7-BE70-5E464BD55864}"/>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572125" y="6448425"/>
              <a:ext cx="1828800" cy="3152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590550</xdr:colOff>
      <xdr:row>37</xdr:row>
      <xdr:rowOff>161926</xdr:rowOff>
    </xdr:from>
    <xdr:to>
      <xdr:col>10</xdr:col>
      <xdr:colOff>409575</xdr:colOff>
      <xdr:row>48</xdr:row>
      <xdr:rowOff>28576</xdr:rowOff>
    </xdr:to>
    <mc:AlternateContent xmlns:mc="http://schemas.openxmlformats.org/markup-compatibility/2006" xmlns:a14="http://schemas.microsoft.com/office/drawing/2010/main">
      <mc:Choice Requires="a14">
        <xdr:graphicFrame macro="">
          <xdr:nvGraphicFramePr>
            <xdr:cNvPr id="9" name="Ads">
              <a:extLst>
                <a:ext uri="{FF2B5EF4-FFF2-40B4-BE49-F238E27FC236}">
                  <a16:creationId xmlns:a16="http://schemas.microsoft.com/office/drawing/2014/main" id="{05006011-A449-4F74-93A5-EADA84470BC8}"/>
                </a:ext>
              </a:extLst>
            </xdr:cNvPr>
            <xdr:cNvGraphicFramePr/>
          </xdr:nvGraphicFramePr>
          <xdr:xfrm>
            <a:off x="0" y="0"/>
            <a:ext cx="0" cy="0"/>
          </xdr:xfrm>
          <a:graphic>
            <a:graphicData uri="http://schemas.microsoft.com/office/drawing/2010/slicer">
              <sle:slicer xmlns:sle="http://schemas.microsoft.com/office/drawing/2010/slicer" name="Ads"/>
            </a:graphicData>
          </a:graphic>
        </xdr:graphicFrame>
      </mc:Choice>
      <mc:Fallback xmlns="">
        <xdr:sp macro="" textlink="">
          <xdr:nvSpPr>
            <xdr:cNvPr id="0" name=""/>
            <xdr:cNvSpPr>
              <a:spLocks noTextEdit="1"/>
            </xdr:cNvSpPr>
          </xdr:nvSpPr>
          <xdr:spPr>
            <a:xfrm>
              <a:off x="7867650" y="7210426"/>
              <a:ext cx="1828800"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1162050</xdr:colOff>
      <xdr:row>37</xdr:row>
      <xdr:rowOff>171449</xdr:rowOff>
    </xdr:from>
    <xdr:to>
      <xdr:col>4</xdr:col>
      <xdr:colOff>495300</xdr:colOff>
      <xdr:row>48</xdr:row>
      <xdr:rowOff>71436</xdr:rowOff>
    </xdr:to>
    <xdr:graphicFrame macro="">
      <xdr:nvGraphicFramePr>
        <xdr:cNvPr id="10" name="Chart 9">
          <a:extLst>
            <a:ext uri="{FF2B5EF4-FFF2-40B4-BE49-F238E27FC236}">
              <a16:creationId xmlns:a16="http://schemas.microsoft.com/office/drawing/2014/main" id="{CAFF27F8-A51E-4C5F-8071-ADC5DDD45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23</xdr:row>
      <xdr:rowOff>28575</xdr:rowOff>
    </xdr:from>
    <xdr:to>
      <xdr:col>5</xdr:col>
      <xdr:colOff>1085850</xdr:colOff>
      <xdr:row>33</xdr:row>
      <xdr:rowOff>52387</xdr:rowOff>
    </xdr:to>
    <xdr:graphicFrame macro="">
      <xdr:nvGraphicFramePr>
        <xdr:cNvPr id="11" name="Chart 10">
          <a:extLst>
            <a:ext uri="{FF2B5EF4-FFF2-40B4-BE49-F238E27FC236}">
              <a16:creationId xmlns:a16="http://schemas.microsoft.com/office/drawing/2014/main" id="{91B23C5B-0A86-406E-BD2F-88CEDE6A34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323850</xdr:colOff>
      <xdr:row>24</xdr:row>
      <xdr:rowOff>9525</xdr:rowOff>
    </xdr:from>
    <xdr:to>
      <xdr:col>10</xdr:col>
      <xdr:colOff>76200</xdr:colOff>
      <xdr:row>32</xdr:row>
      <xdr:rowOff>185737</xdr:rowOff>
    </xdr:to>
    <xdr:graphicFrame macro="">
      <xdr:nvGraphicFramePr>
        <xdr:cNvPr id="12" name="Chart 11">
          <a:extLst>
            <a:ext uri="{FF2B5EF4-FFF2-40B4-BE49-F238E27FC236}">
              <a16:creationId xmlns:a16="http://schemas.microsoft.com/office/drawing/2014/main" id="{2EB760DE-65CA-4990-B1BF-F4A155D0C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857250</xdr:colOff>
      <xdr:row>34</xdr:row>
      <xdr:rowOff>42862</xdr:rowOff>
    </xdr:from>
    <xdr:to>
      <xdr:col>17</xdr:col>
      <xdr:colOff>19050</xdr:colOff>
      <xdr:row>48</xdr:row>
      <xdr:rowOff>119062</xdr:rowOff>
    </xdr:to>
    <xdr:graphicFrame macro="">
      <xdr:nvGraphicFramePr>
        <xdr:cNvPr id="13" name="Chart 12">
          <a:extLst>
            <a:ext uri="{FF2B5EF4-FFF2-40B4-BE49-F238E27FC236}">
              <a16:creationId xmlns:a16="http://schemas.microsoft.com/office/drawing/2014/main" id="{D2E3AB96-9AE7-4DAE-ABFB-6A09AA4E2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57149</xdr:colOff>
      <xdr:row>0</xdr:row>
      <xdr:rowOff>57149</xdr:rowOff>
    </xdr:from>
    <xdr:to>
      <xdr:col>16</xdr:col>
      <xdr:colOff>95250</xdr:colOff>
      <xdr:row>36</xdr:row>
      <xdr:rowOff>66674</xdr:rowOff>
    </xdr:to>
    <xdr:sp macro="" textlink="">
      <xdr:nvSpPr>
        <xdr:cNvPr id="2" name="Rectangle: Rounded Corners 1">
          <a:extLst>
            <a:ext uri="{FF2B5EF4-FFF2-40B4-BE49-F238E27FC236}">
              <a16:creationId xmlns:a16="http://schemas.microsoft.com/office/drawing/2014/main" id="{71CF9F45-D92B-4140-BB3D-C82B5245424A}"/>
            </a:ext>
          </a:extLst>
        </xdr:cNvPr>
        <xdr:cNvSpPr/>
      </xdr:nvSpPr>
      <xdr:spPr>
        <a:xfrm>
          <a:off x="57149" y="57149"/>
          <a:ext cx="9791701" cy="6867525"/>
        </a:xfrm>
        <a:prstGeom prst="roundRect">
          <a:avLst>
            <a:gd name="adj" fmla="val 2521"/>
          </a:avLst>
        </a:prstGeom>
        <a:gradFill>
          <a:gsLst>
            <a:gs pos="0">
              <a:schemeClr val="accent6">
                <a:lumMod val="75000"/>
              </a:schemeClr>
            </a:gs>
            <a:gs pos="50000">
              <a:schemeClr val="accent6">
                <a:lumMod val="105000"/>
                <a:satMod val="103000"/>
                <a:tint val="73000"/>
              </a:schemeClr>
            </a:gs>
            <a:gs pos="100000">
              <a:schemeClr val="accent6">
                <a:lumMod val="105000"/>
                <a:satMod val="109000"/>
                <a:tint val="81000"/>
              </a:schemeClr>
            </a:gs>
          </a:gsLst>
        </a:gra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228600</xdr:colOff>
      <xdr:row>0</xdr:row>
      <xdr:rowOff>152400</xdr:rowOff>
    </xdr:from>
    <xdr:to>
      <xdr:col>13</xdr:col>
      <xdr:colOff>161925</xdr:colOff>
      <xdr:row>3</xdr:row>
      <xdr:rowOff>66675</xdr:rowOff>
    </xdr:to>
    <xdr:sp macro="" textlink="">
      <xdr:nvSpPr>
        <xdr:cNvPr id="8" name="TextBox 7">
          <a:extLst>
            <a:ext uri="{FF2B5EF4-FFF2-40B4-BE49-F238E27FC236}">
              <a16:creationId xmlns:a16="http://schemas.microsoft.com/office/drawing/2014/main" id="{A080EBD4-6A5F-4002-A553-C1F887FB7A2F}"/>
            </a:ext>
          </a:extLst>
        </xdr:cNvPr>
        <xdr:cNvSpPr txBox="1"/>
      </xdr:nvSpPr>
      <xdr:spPr>
        <a:xfrm>
          <a:off x="2057400" y="152400"/>
          <a:ext cx="6029325" cy="485775"/>
        </a:xfrm>
        <a:prstGeom prst="rect">
          <a:avLst/>
        </a:prstGeom>
        <a:solidFill>
          <a:schemeClr val="lt1"/>
        </a:solidFill>
        <a:ln w="9525" cmpd="sng">
          <a:solidFill>
            <a:schemeClr val="lt1">
              <a:shade val="50000"/>
            </a:schemeClr>
          </a:solid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latin typeface="Arial Black" panose="020B0A04020102020204" pitchFamily="34" charset="0"/>
            </a:rPr>
            <a:t>Lmar</a:t>
          </a:r>
          <a:r>
            <a:rPr lang="en-US" sz="1800" baseline="0">
              <a:latin typeface="Arial Black" panose="020B0A04020102020204" pitchFamily="34" charset="0"/>
            </a:rPr>
            <a:t> Marketing  Fb Month Ads Dashboard</a:t>
          </a:r>
          <a:endParaRPr lang="en-US" sz="1800">
            <a:latin typeface="Arial Black" panose="020B0A04020102020204" pitchFamily="34" charset="0"/>
          </a:endParaRPr>
        </a:p>
      </xdr:txBody>
    </xdr:sp>
    <xdr:clientData/>
  </xdr:twoCellAnchor>
  <xdr:twoCellAnchor>
    <xdr:from>
      <xdr:col>0</xdr:col>
      <xdr:colOff>152400</xdr:colOff>
      <xdr:row>4</xdr:row>
      <xdr:rowOff>85725</xdr:rowOff>
    </xdr:from>
    <xdr:to>
      <xdr:col>3</xdr:col>
      <xdr:colOff>123825</xdr:colOff>
      <xdr:row>19</xdr:row>
      <xdr:rowOff>152400</xdr:rowOff>
    </xdr:to>
    <xdr:sp macro="" textlink="">
      <xdr:nvSpPr>
        <xdr:cNvPr id="9" name="Rectangle 8">
          <a:extLst>
            <a:ext uri="{FF2B5EF4-FFF2-40B4-BE49-F238E27FC236}">
              <a16:creationId xmlns:a16="http://schemas.microsoft.com/office/drawing/2014/main" id="{C479F4E3-190A-4B3F-8D4D-5E9785526CEB}"/>
            </a:ext>
          </a:extLst>
        </xdr:cNvPr>
        <xdr:cNvSpPr/>
      </xdr:nvSpPr>
      <xdr:spPr>
        <a:xfrm>
          <a:off x="152400" y="847725"/>
          <a:ext cx="1800225" cy="2924175"/>
        </a:xfrm>
        <a:prstGeom prst="rect">
          <a:avLst/>
        </a:prstGeom>
        <a:solidFill>
          <a:schemeClr val="tx2">
            <a:lumMod val="40000"/>
            <a:lumOff val="60000"/>
          </a:schemeClr>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152400</xdr:colOff>
      <xdr:row>20</xdr:row>
      <xdr:rowOff>47625</xdr:rowOff>
    </xdr:from>
    <xdr:to>
      <xdr:col>3</xdr:col>
      <xdr:colOff>123825</xdr:colOff>
      <xdr:row>35</xdr:row>
      <xdr:rowOff>114300</xdr:rowOff>
    </xdr:to>
    <xdr:sp macro="" textlink="">
      <xdr:nvSpPr>
        <xdr:cNvPr id="10" name="Rectangle 9">
          <a:extLst>
            <a:ext uri="{FF2B5EF4-FFF2-40B4-BE49-F238E27FC236}">
              <a16:creationId xmlns:a16="http://schemas.microsoft.com/office/drawing/2014/main" id="{02A68756-6301-405C-AAA9-80DF45350227}"/>
            </a:ext>
          </a:extLst>
        </xdr:cNvPr>
        <xdr:cNvSpPr/>
      </xdr:nvSpPr>
      <xdr:spPr>
        <a:xfrm>
          <a:off x="152400" y="3857625"/>
          <a:ext cx="1800225" cy="2924175"/>
        </a:xfrm>
        <a:prstGeom prst="rect">
          <a:avLst/>
        </a:prstGeom>
        <a:solidFill>
          <a:schemeClr val="accent1">
            <a:lumMod val="40000"/>
            <a:lumOff val="60000"/>
          </a:schemeClr>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276222</xdr:colOff>
      <xdr:row>4</xdr:row>
      <xdr:rowOff>114300</xdr:rowOff>
    </xdr:from>
    <xdr:to>
      <xdr:col>9</xdr:col>
      <xdr:colOff>371473</xdr:colOff>
      <xdr:row>18</xdr:row>
      <xdr:rowOff>19050</xdr:rowOff>
    </xdr:to>
    <xdr:sp macro="" textlink="">
      <xdr:nvSpPr>
        <xdr:cNvPr id="11" name="Rectangle 10">
          <a:extLst>
            <a:ext uri="{FF2B5EF4-FFF2-40B4-BE49-F238E27FC236}">
              <a16:creationId xmlns:a16="http://schemas.microsoft.com/office/drawing/2014/main" id="{34B103FE-C046-44E9-9D91-52A3D94802AE}"/>
            </a:ext>
          </a:extLst>
        </xdr:cNvPr>
        <xdr:cNvSpPr/>
      </xdr:nvSpPr>
      <xdr:spPr>
        <a:xfrm rot="5400000">
          <a:off x="2695573" y="285749"/>
          <a:ext cx="2571750" cy="3752851"/>
        </a:xfrm>
        <a:prstGeom prst="rect">
          <a:avLst/>
        </a:prstGeom>
        <a:solidFill>
          <a:schemeClr val="bg1"/>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514347</xdr:colOff>
      <xdr:row>4</xdr:row>
      <xdr:rowOff>104775</xdr:rowOff>
    </xdr:from>
    <xdr:to>
      <xdr:col>15</xdr:col>
      <xdr:colOff>609598</xdr:colOff>
      <xdr:row>18</xdr:row>
      <xdr:rowOff>19050</xdr:rowOff>
    </xdr:to>
    <xdr:sp macro="" textlink="">
      <xdr:nvSpPr>
        <xdr:cNvPr id="13" name="Rectangle 12">
          <a:extLst>
            <a:ext uri="{FF2B5EF4-FFF2-40B4-BE49-F238E27FC236}">
              <a16:creationId xmlns:a16="http://schemas.microsoft.com/office/drawing/2014/main" id="{8DFEBA0A-2631-45D6-9F26-7A028DB26AA8}"/>
            </a:ext>
          </a:extLst>
        </xdr:cNvPr>
        <xdr:cNvSpPr/>
      </xdr:nvSpPr>
      <xdr:spPr>
        <a:xfrm rot="5400000">
          <a:off x="6586535" y="280987"/>
          <a:ext cx="2581275" cy="3752851"/>
        </a:xfrm>
        <a:prstGeom prst="rect">
          <a:avLst/>
        </a:prstGeom>
        <a:solidFill>
          <a:schemeClr val="bg1"/>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266697</xdr:colOff>
      <xdr:row>19</xdr:row>
      <xdr:rowOff>38102</xdr:rowOff>
    </xdr:from>
    <xdr:to>
      <xdr:col>9</xdr:col>
      <xdr:colOff>361948</xdr:colOff>
      <xdr:row>35</xdr:row>
      <xdr:rowOff>123828</xdr:rowOff>
    </xdr:to>
    <xdr:sp macro="" textlink="">
      <xdr:nvSpPr>
        <xdr:cNvPr id="14" name="Rectangle 13">
          <a:extLst>
            <a:ext uri="{FF2B5EF4-FFF2-40B4-BE49-F238E27FC236}">
              <a16:creationId xmlns:a16="http://schemas.microsoft.com/office/drawing/2014/main" id="{6850FD34-A67D-4D42-91A8-2478D015C577}"/>
            </a:ext>
          </a:extLst>
        </xdr:cNvPr>
        <xdr:cNvSpPr/>
      </xdr:nvSpPr>
      <xdr:spPr>
        <a:xfrm rot="5400000">
          <a:off x="2405060" y="3348039"/>
          <a:ext cx="3133726" cy="3752851"/>
        </a:xfrm>
        <a:prstGeom prst="rect">
          <a:avLst/>
        </a:prstGeom>
        <a:solidFill>
          <a:schemeClr val="bg1"/>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514346</xdr:colOff>
      <xdr:row>19</xdr:row>
      <xdr:rowOff>38100</xdr:rowOff>
    </xdr:from>
    <xdr:to>
      <xdr:col>15</xdr:col>
      <xdr:colOff>609597</xdr:colOff>
      <xdr:row>35</xdr:row>
      <xdr:rowOff>123825</xdr:rowOff>
    </xdr:to>
    <xdr:sp macro="" textlink="">
      <xdr:nvSpPr>
        <xdr:cNvPr id="15" name="Rectangle 14">
          <a:extLst>
            <a:ext uri="{FF2B5EF4-FFF2-40B4-BE49-F238E27FC236}">
              <a16:creationId xmlns:a16="http://schemas.microsoft.com/office/drawing/2014/main" id="{2EB7C148-682F-4602-873B-C32575BADE02}"/>
            </a:ext>
          </a:extLst>
        </xdr:cNvPr>
        <xdr:cNvSpPr/>
      </xdr:nvSpPr>
      <xdr:spPr>
        <a:xfrm rot="5400000">
          <a:off x="6310309" y="3348037"/>
          <a:ext cx="3133725" cy="3752851"/>
        </a:xfrm>
        <a:prstGeom prst="rect">
          <a:avLst/>
        </a:prstGeom>
        <a:solidFill>
          <a:schemeClr val="bg1"/>
        </a:solidFill>
        <a:ln>
          <a:noFill/>
        </a:ln>
        <a:effectLst>
          <a:outerShdw blurRad="50800" dist="38100" dir="198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247650</xdr:colOff>
      <xdr:row>4</xdr:row>
      <xdr:rowOff>142875</xdr:rowOff>
    </xdr:from>
    <xdr:to>
      <xdr:col>3</xdr:col>
      <xdr:colOff>28575</xdr:colOff>
      <xdr:row>19</xdr:row>
      <xdr:rowOff>66675</xdr:rowOff>
    </xdr:to>
    <mc:AlternateContent xmlns:mc="http://schemas.openxmlformats.org/markup-compatibility/2006" xmlns:a14="http://schemas.microsoft.com/office/drawing/2010/main">
      <mc:Choice Requires="a14">
        <xdr:graphicFrame macro="">
          <xdr:nvGraphicFramePr>
            <xdr:cNvPr id="16" name="Date 1">
              <a:extLst>
                <a:ext uri="{FF2B5EF4-FFF2-40B4-BE49-F238E27FC236}">
                  <a16:creationId xmlns:a16="http://schemas.microsoft.com/office/drawing/2014/main" id="{DB9F7A24-BD76-4C47-8AE2-47A35C723F9A}"/>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247650" y="904875"/>
              <a:ext cx="1609725" cy="2781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247649</xdr:colOff>
      <xdr:row>21</xdr:row>
      <xdr:rowOff>47624</xdr:rowOff>
    </xdr:from>
    <xdr:to>
      <xdr:col>3</xdr:col>
      <xdr:colOff>19050</xdr:colOff>
      <xdr:row>34</xdr:row>
      <xdr:rowOff>95249</xdr:rowOff>
    </xdr:to>
    <mc:AlternateContent xmlns:mc="http://schemas.openxmlformats.org/markup-compatibility/2006" xmlns:a14="http://schemas.microsoft.com/office/drawing/2010/main">
      <mc:Choice Requires="a14">
        <xdr:graphicFrame macro="">
          <xdr:nvGraphicFramePr>
            <xdr:cNvPr id="17" name="Ads 1">
              <a:extLst>
                <a:ext uri="{FF2B5EF4-FFF2-40B4-BE49-F238E27FC236}">
                  <a16:creationId xmlns:a16="http://schemas.microsoft.com/office/drawing/2014/main" id="{8CD17BF1-16F8-4842-A4CF-73741D4D4282}"/>
                </a:ext>
              </a:extLst>
            </xdr:cNvPr>
            <xdr:cNvGraphicFramePr/>
          </xdr:nvGraphicFramePr>
          <xdr:xfrm>
            <a:off x="0" y="0"/>
            <a:ext cx="0" cy="0"/>
          </xdr:xfrm>
          <a:graphic>
            <a:graphicData uri="http://schemas.microsoft.com/office/drawing/2010/slicer">
              <sle:slicer xmlns:sle="http://schemas.microsoft.com/office/drawing/2010/slicer" name="Ads 1"/>
            </a:graphicData>
          </a:graphic>
        </xdr:graphicFrame>
      </mc:Choice>
      <mc:Fallback xmlns="">
        <xdr:sp macro="" textlink="">
          <xdr:nvSpPr>
            <xdr:cNvPr id="0" name=""/>
            <xdr:cNvSpPr>
              <a:spLocks noTextEdit="1"/>
            </xdr:cNvSpPr>
          </xdr:nvSpPr>
          <xdr:spPr>
            <a:xfrm>
              <a:off x="247649" y="4048124"/>
              <a:ext cx="1600201"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180971</xdr:colOff>
      <xdr:row>4</xdr:row>
      <xdr:rowOff>180975</xdr:rowOff>
    </xdr:from>
    <xdr:to>
      <xdr:col>9</xdr:col>
      <xdr:colOff>447675</xdr:colOff>
      <xdr:row>16</xdr:row>
      <xdr:rowOff>80962</xdr:rowOff>
    </xdr:to>
    <xdr:graphicFrame macro="">
      <xdr:nvGraphicFramePr>
        <xdr:cNvPr id="18" name="Chart 17">
          <a:extLst>
            <a:ext uri="{FF2B5EF4-FFF2-40B4-BE49-F238E27FC236}">
              <a16:creationId xmlns:a16="http://schemas.microsoft.com/office/drawing/2014/main" id="{7DD477A5-6F8D-443E-B675-529355B34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304795</xdr:colOff>
      <xdr:row>4</xdr:row>
      <xdr:rowOff>95250</xdr:rowOff>
    </xdr:from>
    <xdr:to>
      <xdr:col>16</xdr:col>
      <xdr:colOff>295274</xdr:colOff>
      <xdr:row>19</xdr:row>
      <xdr:rowOff>33338</xdr:rowOff>
    </xdr:to>
    <xdr:graphicFrame macro="">
      <xdr:nvGraphicFramePr>
        <xdr:cNvPr id="20" name="Chart 19">
          <a:extLst>
            <a:ext uri="{FF2B5EF4-FFF2-40B4-BE49-F238E27FC236}">
              <a16:creationId xmlns:a16="http://schemas.microsoft.com/office/drawing/2014/main" id="{D32DF6E6-35D2-4DED-9260-FD9BE8245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266697</xdr:colOff>
      <xdr:row>20</xdr:row>
      <xdr:rowOff>76200</xdr:rowOff>
    </xdr:from>
    <xdr:to>
      <xdr:col>9</xdr:col>
      <xdr:colOff>333375</xdr:colOff>
      <xdr:row>35</xdr:row>
      <xdr:rowOff>142877</xdr:rowOff>
    </xdr:to>
    <xdr:graphicFrame macro="">
      <xdr:nvGraphicFramePr>
        <xdr:cNvPr id="21" name="Chart 20">
          <a:extLst>
            <a:ext uri="{FF2B5EF4-FFF2-40B4-BE49-F238E27FC236}">
              <a16:creationId xmlns:a16="http://schemas.microsoft.com/office/drawing/2014/main" id="{63ABA71C-4BFA-40C2-99F7-F4D624CAE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476246</xdr:colOff>
      <xdr:row>19</xdr:row>
      <xdr:rowOff>76200</xdr:rowOff>
    </xdr:from>
    <xdr:to>
      <xdr:col>16</xdr:col>
      <xdr:colOff>47626</xdr:colOff>
      <xdr:row>35</xdr:row>
      <xdr:rowOff>9525</xdr:rowOff>
    </xdr:to>
    <xdr:graphicFrame macro="">
      <xdr:nvGraphicFramePr>
        <xdr:cNvPr id="27" name="Chart 26">
          <a:extLst>
            <a:ext uri="{FF2B5EF4-FFF2-40B4-BE49-F238E27FC236}">
              <a16:creationId xmlns:a16="http://schemas.microsoft.com/office/drawing/2014/main" id="{4C860C97-0C84-4058-A05A-D640EA254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209551</xdr:colOff>
      <xdr:row>0</xdr:row>
      <xdr:rowOff>121639</xdr:rowOff>
    </xdr:from>
    <xdr:to>
      <xdr:col>13</xdr:col>
      <xdr:colOff>95250</xdr:colOff>
      <xdr:row>3</xdr:row>
      <xdr:rowOff>43603</xdr:rowOff>
    </xdr:to>
    <xdr:pic>
      <xdr:nvPicPr>
        <xdr:cNvPr id="4" name="Picture 3">
          <a:extLst>
            <a:ext uri="{FF2B5EF4-FFF2-40B4-BE49-F238E27FC236}">
              <a16:creationId xmlns:a16="http://schemas.microsoft.com/office/drawing/2014/main" id="{0E6BF9EE-8752-48E8-8D72-D0B71DFE0BB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524751" y="121639"/>
          <a:ext cx="495299" cy="493464"/>
        </a:xfrm>
        <a:prstGeom prst="rect">
          <a:avLst/>
        </a:prstGeom>
      </xdr:spPr>
    </xdr:pic>
    <xdr:clientData/>
  </xdr:twoCellAnchor>
  <xdr:twoCellAnchor editAs="oneCell">
    <xdr:from>
      <xdr:col>0</xdr:col>
      <xdr:colOff>485777</xdr:colOff>
      <xdr:row>0</xdr:row>
      <xdr:rowOff>114300</xdr:rowOff>
    </xdr:from>
    <xdr:to>
      <xdr:col>1</xdr:col>
      <xdr:colOff>561975</xdr:colOff>
      <xdr:row>4</xdr:row>
      <xdr:rowOff>38098</xdr:rowOff>
    </xdr:to>
    <xdr:pic>
      <xdr:nvPicPr>
        <xdr:cNvPr id="6" name="Picture 5">
          <a:extLst>
            <a:ext uri="{FF2B5EF4-FFF2-40B4-BE49-F238E27FC236}">
              <a16:creationId xmlns:a16="http://schemas.microsoft.com/office/drawing/2014/main" id="{E1C5C21D-386A-4FC6-904D-6B79EFE2B8F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85777" y="114300"/>
          <a:ext cx="685798" cy="68579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MC" refreshedDate="46118.761368981483" createdVersion="6" refreshedVersion="6" minRefreshableVersion="3" recordCount="34" xr:uid="{FE05B029-0A9F-4643-875E-A7079996B991}">
  <cacheSource type="worksheet">
    <worksheetSource ref="A3:L37" sheet="Sheet1"/>
  </cacheSource>
  <cacheFields count="12">
    <cacheField name="Date" numFmtId="14">
      <sharedItems containsDate="1" containsMixedTypes="1" minDate="2026-03-03T00:00:00" maxDate="2026-03-13T00:00:00" count="17">
        <s v="13/2"/>
        <s v="15/2"/>
        <s v="16/2"/>
        <s v="18/2"/>
        <s v="20/2"/>
        <s v="21/2"/>
        <s v="22/2"/>
        <s v="23/2"/>
        <s v="24/2"/>
        <s v="26/2"/>
        <s v="27/2"/>
        <s v="28/2"/>
        <d v="2026-03-03T00:00:00"/>
        <d v="2026-03-04T00:00:00"/>
        <d v="2026-03-05T00:00:00"/>
        <d v="2026-03-08T00:00:00"/>
        <d v="2026-03-12T00:00:00"/>
      </sharedItems>
    </cacheField>
    <cacheField name="Ads" numFmtId="0">
      <sharedItems count="6">
        <s v="Faisal Town 2"/>
        <s v="DHA Peshawar"/>
        <s v="Hyper Mall "/>
        <s v="Hayatabad"/>
        <s v="Paradise City "/>
        <s v="P/Is"/>
      </sharedItems>
    </cacheField>
    <cacheField name="Awareness" numFmtId="0">
      <sharedItems containsString="0" containsBlank="1" containsNumber="1" containsInteger="1" minValue="1" maxValue="1"/>
    </cacheField>
    <cacheField name="Per Post Engagement" numFmtId="0">
      <sharedItems containsString="0" containsBlank="1" containsNumber="1" containsInteger="1" minValue="6538" maxValue="82029"/>
    </cacheField>
    <cacheField name="Leads" numFmtId="0">
      <sharedItems containsString="0" containsBlank="1" containsNumber="1" containsInteger="1" minValue="12" maxValue="12"/>
    </cacheField>
    <cacheField name="Play " numFmtId="0">
      <sharedItems containsString="0" containsBlank="1" containsNumber="1" containsInteger="1" minValue="402" maxValue="9494"/>
    </cacheField>
    <cacheField name="Reach" numFmtId="0">
      <sharedItems containsSemiMixedTypes="0" containsString="0" containsNumber="1" containsInteger="1" minValue="252" maxValue="101056"/>
    </cacheField>
    <cacheField name="Impressions" numFmtId="0">
      <sharedItems containsSemiMixedTypes="0" containsString="0" containsNumber="1" containsInteger="1" minValue="293" maxValue="131689"/>
    </cacheField>
    <cacheField name="Massege " numFmtId="0">
      <sharedItems containsString="0" containsBlank="1" containsNumber="1" containsInteger="1" minValue="1" maxValue="19"/>
    </cacheField>
    <cacheField name="New Massege" numFmtId="0">
      <sharedItems containsString="0" containsBlank="1" containsNumber="1" containsInteger="1" minValue="1" maxValue="19"/>
    </cacheField>
    <cacheField name="Cost Per  " numFmtId="164">
      <sharedItems containsSemiMixedTypes="0" containsString="0" containsNumber="1" minValue="1.7999999999999999E-2" maxValue="209.70500000000001" count="34">
        <n v="47.01"/>
        <n v="30.11"/>
        <n v="0.16"/>
        <n v="1.7999999999999999E-2"/>
        <n v="0.37"/>
        <n v="0.29916157573204127"/>
        <n v="31.305714285714284"/>
        <n v="4.0573207873085146E-2"/>
        <n v="4.9524437484546276E-2"/>
        <n v="4.7140877046242084E-2"/>
        <n v="2.4328508495909378E-2"/>
        <n v="8.0227575488454717E-2"/>
        <n v="0.10788314469256653"/>
        <n v="9.201454814449514E-2"/>
        <n v="3.4060766469671148E-2"/>
        <n v="5.9096146620465077E-2"/>
        <n v="4.9622388059701494"/>
        <n v="5.0518055378333551E-2"/>
        <n v="6.6979865771812086E-2"/>
        <n v="6.0434446397188049E-2"/>
        <n v="7.7900546448087429E-2"/>
        <n v="4.1760585167506407E-2"/>
        <n v="173.77083333333334"/>
        <n v="166.14"/>
        <n v="170.96"/>
        <n v="72.989999999999995"/>
        <n v="0.31876470588235295"/>
        <n v="209.70500000000001"/>
        <n v="4.4815749902537734E-2"/>
        <n v="5.473033595852856E-2"/>
        <n v="5.3585683112070119E-2"/>
        <n v="5.4535365690600343E-2"/>
        <n v="6.3053315832239512E-2"/>
        <n v="1.9489478216706782E-2"/>
      </sharedItems>
    </cacheField>
    <cacheField name="Total Spend" numFmtId="164">
      <sharedItems containsSemiMixedTypes="0" containsString="0" containsNumber="1" minValue="140.44" maxValue="4395.58"/>
    </cacheField>
  </cacheFields>
  <extLst>
    <ext xmlns:x14="http://schemas.microsoft.com/office/spreadsheetml/2009/9/main" uri="{725AE2AE-9491-48be-B2B4-4EB974FC3084}">
      <x14:pivotCacheDefinition pivotCacheId="450771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x v="0"/>
    <m/>
    <m/>
    <m/>
    <m/>
    <n v="400"/>
    <n v="293"/>
    <n v="3"/>
    <n v="3"/>
    <x v="0"/>
    <n v="141.03"/>
  </r>
  <r>
    <x v="0"/>
    <x v="0"/>
    <m/>
    <m/>
    <m/>
    <m/>
    <n v="252"/>
    <n v="484"/>
    <n v="4"/>
    <n v="4"/>
    <x v="1"/>
    <n v="140.44"/>
  </r>
  <r>
    <x v="1"/>
    <x v="0"/>
    <m/>
    <m/>
    <m/>
    <n v="5967"/>
    <n v="29356"/>
    <n v="28348"/>
    <n v="3"/>
    <n v="3"/>
    <x v="2"/>
    <n v="944.29"/>
  </r>
  <r>
    <x v="2"/>
    <x v="1"/>
    <m/>
    <m/>
    <m/>
    <m/>
    <n v="50264"/>
    <n v="58453"/>
    <m/>
    <m/>
    <x v="3"/>
    <n v="910.31"/>
  </r>
  <r>
    <x v="3"/>
    <x v="0"/>
    <m/>
    <m/>
    <m/>
    <n v="1613"/>
    <n v="9525"/>
    <n v="10316"/>
    <m/>
    <m/>
    <x v="4"/>
    <n v="602.91999999999996"/>
  </r>
  <r>
    <x v="4"/>
    <x v="0"/>
    <m/>
    <m/>
    <m/>
    <n v="9494"/>
    <n v="40981"/>
    <n v="50640"/>
    <n v="3"/>
    <n v="3"/>
    <x v="5"/>
    <n v="2840.24"/>
  </r>
  <r>
    <x v="5"/>
    <x v="0"/>
    <m/>
    <m/>
    <m/>
    <m/>
    <n v="667"/>
    <n v="765"/>
    <n v="7"/>
    <n v="6"/>
    <x v="6"/>
    <n v="219.14"/>
  </r>
  <r>
    <x v="6"/>
    <x v="0"/>
    <m/>
    <n v="43998"/>
    <m/>
    <m/>
    <n v="52945"/>
    <n v="60898"/>
    <n v="1"/>
    <n v="1"/>
    <x v="7"/>
    <n v="1785.14"/>
  </r>
  <r>
    <x v="6"/>
    <x v="2"/>
    <m/>
    <n v="12133"/>
    <m/>
    <m/>
    <n v="18295"/>
    <n v="20079"/>
    <m/>
    <m/>
    <x v="8"/>
    <n v="600.88"/>
  </r>
  <r>
    <x v="6"/>
    <x v="0"/>
    <m/>
    <n v="41845"/>
    <m/>
    <m/>
    <n v="55514"/>
    <n v="66566"/>
    <n v="3"/>
    <n v="2"/>
    <x v="9"/>
    <n v="1972.61"/>
  </r>
  <r>
    <x v="6"/>
    <x v="0"/>
    <n v="1"/>
    <m/>
    <m/>
    <m/>
    <n v="47670"/>
    <n v="68311"/>
    <n v="2"/>
    <n v="2"/>
    <x v="10"/>
    <n v="1159.74"/>
  </r>
  <r>
    <x v="6"/>
    <x v="0"/>
    <m/>
    <n v="9008"/>
    <m/>
    <m/>
    <n v="19523"/>
    <n v="20129"/>
    <n v="1"/>
    <n v="1"/>
    <x v="11"/>
    <n v="722.69"/>
  </r>
  <r>
    <x v="6"/>
    <x v="0"/>
    <m/>
    <n v="6538"/>
    <m/>
    <m/>
    <n v="14167"/>
    <n v="15051"/>
    <m/>
    <m/>
    <x v="12"/>
    <n v="705.34"/>
  </r>
  <r>
    <x v="6"/>
    <x v="0"/>
    <m/>
    <n v="8111"/>
    <m/>
    <m/>
    <n v="16485"/>
    <n v="17059"/>
    <n v="2"/>
    <n v="2"/>
    <x v="13"/>
    <n v="746.33"/>
  </r>
  <r>
    <x v="6"/>
    <x v="0"/>
    <m/>
    <n v="27581"/>
    <m/>
    <m/>
    <n v="35209"/>
    <n v="36867"/>
    <m/>
    <m/>
    <x v="14"/>
    <n v="939.43"/>
  </r>
  <r>
    <x v="6"/>
    <x v="0"/>
    <m/>
    <n v="23953"/>
    <m/>
    <m/>
    <n v="41170"/>
    <n v="46279"/>
    <m/>
    <m/>
    <x v="15"/>
    <n v="1415.53"/>
  </r>
  <r>
    <x v="7"/>
    <x v="3"/>
    <m/>
    <m/>
    <m/>
    <n v="402"/>
    <n v="12503"/>
    <n v="18974"/>
    <n v="1"/>
    <n v="1"/>
    <x v="16"/>
    <n v="1994.82"/>
  </r>
  <r>
    <x v="8"/>
    <x v="0"/>
    <m/>
    <n v="7837"/>
    <m/>
    <m/>
    <n v="11014"/>
    <n v="11639"/>
    <n v="2"/>
    <n v="2"/>
    <x v="17"/>
    <n v="395.91"/>
  </r>
  <r>
    <x v="8"/>
    <x v="0"/>
    <m/>
    <n v="7897"/>
    <m/>
    <m/>
    <n v="13015"/>
    <n v="13963"/>
    <m/>
    <m/>
    <x v="18"/>
    <n v="528.94000000000005"/>
  </r>
  <r>
    <x v="9"/>
    <x v="0"/>
    <m/>
    <n v="42675"/>
    <m/>
    <m/>
    <n v="53650"/>
    <n v="73265"/>
    <n v="2"/>
    <n v="2"/>
    <x v="19"/>
    <n v="2579.04"/>
  </r>
  <r>
    <x v="9"/>
    <x v="0"/>
    <m/>
    <n v="36600"/>
    <m/>
    <m/>
    <n v="57144"/>
    <n v="73341"/>
    <n v="4"/>
    <n v="4"/>
    <x v="20"/>
    <n v="2851.16"/>
  </r>
  <r>
    <x v="10"/>
    <x v="4"/>
    <m/>
    <n v="45252"/>
    <m/>
    <m/>
    <n v="57316"/>
    <n v="66500"/>
    <n v="4"/>
    <n v="4"/>
    <x v="21"/>
    <n v="1889.75"/>
  </r>
  <r>
    <x v="11"/>
    <x v="4"/>
    <m/>
    <m/>
    <n v="12"/>
    <m/>
    <n v="5342"/>
    <n v="7442"/>
    <n v="19"/>
    <n v="19"/>
    <x v="22"/>
    <n v="2085.25"/>
  </r>
  <r>
    <x v="12"/>
    <x v="4"/>
    <m/>
    <m/>
    <m/>
    <m/>
    <n v="367"/>
    <n v="458"/>
    <n v="1"/>
    <n v="1"/>
    <x v="23"/>
    <n v="166.14"/>
  </r>
  <r>
    <x v="13"/>
    <x v="4"/>
    <m/>
    <m/>
    <m/>
    <m/>
    <n v="285"/>
    <n v="326"/>
    <n v="1"/>
    <n v="1"/>
    <x v="24"/>
    <n v="170.96"/>
  </r>
  <r>
    <x v="14"/>
    <x v="4"/>
    <m/>
    <m/>
    <m/>
    <m/>
    <n v="2576"/>
    <n v="4139"/>
    <n v="15"/>
    <n v="14"/>
    <x v="25"/>
    <n v="1094.8499999999999"/>
  </r>
  <r>
    <x v="15"/>
    <x v="5"/>
    <m/>
    <m/>
    <m/>
    <n v="680"/>
    <n v="2431"/>
    <n v="2647"/>
    <n v="1"/>
    <n v="1"/>
    <x v="26"/>
    <n v="216.76"/>
  </r>
  <r>
    <x v="16"/>
    <x v="4"/>
    <m/>
    <m/>
    <m/>
    <m/>
    <n v="1126"/>
    <n v="1450"/>
    <n v="2"/>
    <n v="2"/>
    <x v="27"/>
    <n v="419.41"/>
  </r>
  <r>
    <x v="16"/>
    <x v="3"/>
    <m/>
    <n v="53867"/>
    <m/>
    <m/>
    <n v="70996"/>
    <n v="82303"/>
    <m/>
    <m/>
    <x v="28"/>
    <n v="2414.09"/>
  </r>
  <r>
    <x v="16"/>
    <x v="0"/>
    <m/>
    <n v="80248"/>
    <m/>
    <m/>
    <n v="97853"/>
    <n v="131689"/>
    <n v="18"/>
    <n v="17"/>
    <x v="29"/>
    <n v="4392"/>
  </r>
  <r>
    <x v="16"/>
    <x v="0"/>
    <m/>
    <n v="82029"/>
    <m/>
    <m/>
    <n v="101056"/>
    <n v="130876"/>
    <n v="17"/>
    <n v="17"/>
    <x v="30"/>
    <n v="4395.58"/>
  </r>
  <r>
    <x v="16"/>
    <x v="0"/>
    <m/>
    <n v="37395"/>
    <m/>
    <m/>
    <n v="49886"/>
    <n v="60074"/>
    <n v="1"/>
    <n v="1"/>
    <x v="31"/>
    <n v="2039.35"/>
  </r>
  <r>
    <x v="16"/>
    <x v="1"/>
    <m/>
    <n v="15999"/>
    <m/>
    <m/>
    <n v="24443"/>
    <n v="27142"/>
    <n v="1"/>
    <n v="1"/>
    <x v="32"/>
    <n v="1008.79"/>
  </r>
  <r>
    <x v="16"/>
    <x v="0"/>
    <n v="1"/>
    <m/>
    <m/>
    <m/>
    <n v="45287"/>
    <n v="52587"/>
    <n v="1"/>
    <n v="1"/>
    <x v="33"/>
    <n v="882.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B6CD4C-2173-4536-85C4-723794F123C7}"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L15:M33" firstHeaderRow="1" firstDataRow="1" firstDataCol="1"/>
  <pivotFields count="12">
    <pivotField axis="axisRow" showAll="0">
      <items count="18">
        <item x="0"/>
        <item x="1"/>
        <item x="2"/>
        <item x="3"/>
        <item x="4"/>
        <item x="5"/>
        <item x="6"/>
        <item x="7"/>
        <item x="8"/>
        <item x="9"/>
        <item x="10"/>
        <item x="11"/>
        <item x="12"/>
        <item x="13"/>
        <item x="14"/>
        <item x="15"/>
        <item x="16"/>
        <item t="default"/>
      </items>
    </pivotField>
    <pivotField showAll="0">
      <items count="7">
        <item x="1"/>
        <item x="0"/>
        <item x="3"/>
        <item x="2"/>
        <item x="5"/>
        <item x="4"/>
        <item t="default"/>
      </items>
    </pivotField>
    <pivotField showAll="0"/>
    <pivotField showAll="0"/>
    <pivotField showAll="0"/>
    <pivotField showAll="0"/>
    <pivotField showAll="0"/>
    <pivotField showAll="0"/>
    <pivotField showAll="0"/>
    <pivotField showAll="0"/>
    <pivotField numFmtId="164" showAll="0"/>
    <pivotField dataField="1" numFmtId="164" showAl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Total Spend" fld="11" baseField="0" baseItem="0"/>
  </dataFields>
  <chartFormats count="36">
    <chartFormat chart="9" format="0"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0" count="1" selected="0">
            <x v="0"/>
          </reference>
        </references>
      </pivotArea>
    </chartFormat>
    <chartFormat chart="11" format="21">
      <pivotArea type="data" outline="0" fieldPosition="0">
        <references count="2">
          <reference field="4294967294" count="1" selected="0">
            <x v="0"/>
          </reference>
          <reference field="0" count="1" selected="0">
            <x v="1"/>
          </reference>
        </references>
      </pivotArea>
    </chartFormat>
    <chartFormat chart="11" format="22">
      <pivotArea type="data" outline="0" fieldPosition="0">
        <references count="2">
          <reference field="4294967294" count="1" selected="0">
            <x v="0"/>
          </reference>
          <reference field="0" count="1" selected="0">
            <x v="2"/>
          </reference>
        </references>
      </pivotArea>
    </chartFormat>
    <chartFormat chart="11" format="23">
      <pivotArea type="data" outline="0" fieldPosition="0">
        <references count="2">
          <reference field="4294967294" count="1" selected="0">
            <x v="0"/>
          </reference>
          <reference field="0" count="1" selected="0">
            <x v="3"/>
          </reference>
        </references>
      </pivotArea>
    </chartFormat>
    <chartFormat chart="11" format="24">
      <pivotArea type="data" outline="0" fieldPosition="0">
        <references count="2">
          <reference field="4294967294" count="1" selected="0">
            <x v="0"/>
          </reference>
          <reference field="0" count="1" selected="0">
            <x v="4"/>
          </reference>
        </references>
      </pivotArea>
    </chartFormat>
    <chartFormat chart="11" format="25">
      <pivotArea type="data" outline="0" fieldPosition="0">
        <references count="2">
          <reference field="4294967294" count="1" selected="0">
            <x v="0"/>
          </reference>
          <reference field="0" count="1" selected="0">
            <x v="5"/>
          </reference>
        </references>
      </pivotArea>
    </chartFormat>
    <chartFormat chart="11" format="26">
      <pivotArea type="data" outline="0" fieldPosition="0">
        <references count="2">
          <reference field="4294967294" count="1" selected="0">
            <x v="0"/>
          </reference>
          <reference field="0" count="1" selected="0">
            <x v="6"/>
          </reference>
        </references>
      </pivotArea>
    </chartFormat>
    <chartFormat chart="11" format="27">
      <pivotArea type="data" outline="0" fieldPosition="0">
        <references count="2">
          <reference field="4294967294" count="1" selected="0">
            <x v="0"/>
          </reference>
          <reference field="0" count="1" selected="0">
            <x v="7"/>
          </reference>
        </references>
      </pivotArea>
    </chartFormat>
    <chartFormat chart="11" format="28">
      <pivotArea type="data" outline="0" fieldPosition="0">
        <references count="2">
          <reference field="4294967294" count="1" selected="0">
            <x v="0"/>
          </reference>
          <reference field="0" count="1" selected="0">
            <x v="8"/>
          </reference>
        </references>
      </pivotArea>
    </chartFormat>
    <chartFormat chart="11" format="29">
      <pivotArea type="data" outline="0" fieldPosition="0">
        <references count="2">
          <reference field="4294967294" count="1" selected="0">
            <x v="0"/>
          </reference>
          <reference field="0" count="1" selected="0">
            <x v="9"/>
          </reference>
        </references>
      </pivotArea>
    </chartFormat>
    <chartFormat chart="11" format="30">
      <pivotArea type="data" outline="0" fieldPosition="0">
        <references count="2">
          <reference field="4294967294" count="1" selected="0">
            <x v="0"/>
          </reference>
          <reference field="0" count="1" selected="0">
            <x v="10"/>
          </reference>
        </references>
      </pivotArea>
    </chartFormat>
    <chartFormat chart="11" format="31">
      <pivotArea type="data" outline="0" fieldPosition="0">
        <references count="2">
          <reference field="4294967294" count="1" selected="0">
            <x v="0"/>
          </reference>
          <reference field="0" count="1" selected="0">
            <x v="11"/>
          </reference>
        </references>
      </pivotArea>
    </chartFormat>
    <chartFormat chart="11" format="32">
      <pivotArea type="data" outline="0" fieldPosition="0">
        <references count="2">
          <reference field="4294967294" count="1" selected="0">
            <x v="0"/>
          </reference>
          <reference field="0" count="1" selected="0">
            <x v="12"/>
          </reference>
        </references>
      </pivotArea>
    </chartFormat>
    <chartFormat chart="11" format="33">
      <pivotArea type="data" outline="0" fieldPosition="0">
        <references count="2">
          <reference field="4294967294" count="1" selected="0">
            <x v="0"/>
          </reference>
          <reference field="0" count="1" selected="0">
            <x v="13"/>
          </reference>
        </references>
      </pivotArea>
    </chartFormat>
    <chartFormat chart="11" format="34">
      <pivotArea type="data" outline="0" fieldPosition="0">
        <references count="2">
          <reference field="4294967294" count="1" selected="0">
            <x v="0"/>
          </reference>
          <reference field="0" count="1" selected="0">
            <x v="14"/>
          </reference>
        </references>
      </pivotArea>
    </chartFormat>
    <chartFormat chart="11" format="35">
      <pivotArea type="data" outline="0" fieldPosition="0">
        <references count="2">
          <reference field="4294967294" count="1" selected="0">
            <x v="0"/>
          </reference>
          <reference field="0" count="1" selected="0">
            <x v="15"/>
          </reference>
        </references>
      </pivotArea>
    </chartFormat>
    <chartFormat chart="11" format="36">
      <pivotArea type="data" outline="0" fieldPosition="0">
        <references count="2">
          <reference field="4294967294" count="1" selected="0">
            <x v="0"/>
          </reference>
          <reference field="0" count="1" selected="0">
            <x v="16"/>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2">
          <reference field="4294967294" count="1" selected="0">
            <x v="0"/>
          </reference>
          <reference field="0" count="1" selected="0">
            <x v="1"/>
          </reference>
        </references>
      </pivotArea>
    </chartFormat>
    <chartFormat chart="9" format="3">
      <pivotArea type="data" outline="0" fieldPosition="0">
        <references count="2">
          <reference field="4294967294" count="1" selected="0">
            <x v="0"/>
          </reference>
          <reference field="0" count="1" selected="0">
            <x v="2"/>
          </reference>
        </references>
      </pivotArea>
    </chartFormat>
    <chartFormat chart="9" format="4">
      <pivotArea type="data" outline="0" fieldPosition="0">
        <references count="2">
          <reference field="4294967294" count="1" selected="0">
            <x v="0"/>
          </reference>
          <reference field="0" count="1" selected="0">
            <x v="3"/>
          </reference>
        </references>
      </pivotArea>
    </chartFormat>
    <chartFormat chart="9" format="5">
      <pivotArea type="data" outline="0" fieldPosition="0">
        <references count="2">
          <reference field="4294967294" count="1" selected="0">
            <x v="0"/>
          </reference>
          <reference field="0" count="1" selected="0">
            <x v="4"/>
          </reference>
        </references>
      </pivotArea>
    </chartFormat>
    <chartFormat chart="9" format="6">
      <pivotArea type="data" outline="0" fieldPosition="0">
        <references count="2">
          <reference field="4294967294" count="1" selected="0">
            <x v="0"/>
          </reference>
          <reference field="0" count="1" selected="0">
            <x v="5"/>
          </reference>
        </references>
      </pivotArea>
    </chartFormat>
    <chartFormat chart="9" format="7">
      <pivotArea type="data" outline="0" fieldPosition="0">
        <references count="2">
          <reference field="4294967294" count="1" selected="0">
            <x v="0"/>
          </reference>
          <reference field="0" count="1" selected="0">
            <x v="6"/>
          </reference>
        </references>
      </pivotArea>
    </chartFormat>
    <chartFormat chart="9" format="8">
      <pivotArea type="data" outline="0" fieldPosition="0">
        <references count="2">
          <reference field="4294967294" count="1" selected="0">
            <x v="0"/>
          </reference>
          <reference field="0" count="1" selected="0">
            <x v="7"/>
          </reference>
        </references>
      </pivotArea>
    </chartFormat>
    <chartFormat chart="9" format="9">
      <pivotArea type="data" outline="0" fieldPosition="0">
        <references count="2">
          <reference field="4294967294" count="1" selected="0">
            <x v="0"/>
          </reference>
          <reference field="0" count="1" selected="0">
            <x v="8"/>
          </reference>
        </references>
      </pivotArea>
    </chartFormat>
    <chartFormat chart="9" format="10">
      <pivotArea type="data" outline="0" fieldPosition="0">
        <references count="2">
          <reference field="4294967294" count="1" selected="0">
            <x v="0"/>
          </reference>
          <reference field="0" count="1" selected="0">
            <x v="9"/>
          </reference>
        </references>
      </pivotArea>
    </chartFormat>
    <chartFormat chart="9" format="11">
      <pivotArea type="data" outline="0" fieldPosition="0">
        <references count="2">
          <reference field="4294967294" count="1" selected="0">
            <x v="0"/>
          </reference>
          <reference field="0" count="1" selected="0">
            <x v="10"/>
          </reference>
        </references>
      </pivotArea>
    </chartFormat>
    <chartFormat chart="9" format="12">
      <pivotArea type="data" outline="0" fieldPosition="0">
        <references count="2">
          <reference field="4294967294" count="1" selected="0">
            <x v="0"/>
          </reference>
          <reference field="0" count="1" selected="0">
            <x v="11"/>
          </reference>
        </references>
      </pivotArea>
    </chartFormat>
    <chartFormat chart="9" format="13">
      <pivotArea type="data" outline="0" fieldPosition="0">
        <references count="2">
          <reference field="4294967294" count="1" selected="0">
            <x v="0"/>
          </reference>
          <reference field="0" count="1" selected="0">
            <x v="12"/>
          </reference>
        </references>
      </pivotArea>
    </chartFormat>
    <chartFormat chart="9" format="14">
      <pivotArea type="data" outline="0" fieldPosition="0">
        <references count="2">
          <reference field="4294967294" count="1" selected="0">
            <x v="0"/>
          </reference>
          <reference field="0" count="1" selected="0">
            <x v="13"/>
          </reference>
        </references>
      </pivotArea>
    </chartFormat>
    <chartFormat chart="9" format="15">
      <pivotArea type="data" outline="0" fieldPosition="0">
        <references count="2">
          <reference field="4294967294" count="1" selected="0">
            <x v="0"/>
          </reference>
          <reference field="0" count="1" selected="0">
            <x v="14"/>
          </reference>
        </references>
      </pivotArea>
    </chartFormat>
    <chartFormat chart="9" format="16">
      <pivotArea type="data" outline="0" fieldPosition="0">
        <references count="2">
          <reference field="4294967294" count="1" selected="0">
            <x v="0"/>
          </reference>
          <reference field="0" count="1" selected="0">
            <x v="15"/>
          </reference>
        </references>
      </pivotArea>
    </chartFormat>
    <chartFormat chart="9" format="17">
      <pivotArea type="data" outline="0" fieldPosition="0">
        <references count="2">
          <reference field="4294967294" count="1" selected="0">
            <x v="0"/>
          </reference>
          <reference field="0"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D4553F-F6B3-4385-8BBE-B04FB35AE89C}"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H15:J22" firstHeaderRow="0" firstDataRow="1" firstDataCol="1"/>
  <pivotFields count="12">
    <pivotField showAll="0">
      <items count="18">
        <item x="0"/>
        <item x="1"/>
        <item x="2"/>
        <item x="3"/>
        <item x="4"/>
        <item x="5"/>
        <item x="6"/>
        <item x="7"/>
        <item x="8"/>
        <item x="9"/>
        <item x="10"/>
        <item x="11"/>
        <item x="12"/>
        <item x="13"/>
        <item x="14"/>
        <item x="15"/>
        <item x="16"/>
        <item t="default"/>
      </items>
    </pivotField>
    <pivotField axis="axisRow" showAll="0">
      <items count="7">
        <item x="1"/>
        <item x="0"/>
        <item x="3"/>
        <item x="2"/>
        <item x="5"/>
        <item x="4"/>
        <item t="default"/>
      </items>
    </pivotField>
    <pivotField dataField="1" showAll="0"/>
    <pivotField showAll="0"/>
    <pivotField dataField="1" showAll="0"/>
    <pivotField showAll="0"/>
    <pivotField showAll="0"/>
    <pivotField showAll="0"/>
    <pivotField showAll="0"/>
    <pivotField showAll="0"/>
    <pivotField numFmtId="164" showAll="0"/>
    <pivotField numFmtId="164" showAll="0"/>
  </pivotFields>
  <rowFields count="1">
    <field x="1"/>
  </rowFields>
  <rowItems count="7">
    <i>
      <x/>
    </i>
    <i>
      <x v="1"/>
    </i>
    <i>
      <x v="2"/>
    </i>
    <i>
      <x v="3"/>
    </i>
    <i>
      <x v="4"/>
    </i>
    <i>
      <x v="5"/>
    </i>
    <i t="grand">
      <x/>
    </i>
  </rowItems>
  <colFields count="1">
    <field x="-2"/>
  </colFields>
  <colItems count="2">
    <i>
      <x/>
    </i>
    <i i="1">
      <x v="1"/>
    </i>
  </colItems>
  <dataFields count="2">
    <dataField name="Sum of Awareness" fld="2" baseField="0" baseItem="0"/>
    <dataField name="Sum of Leads" fld="4" baseField="0" baseItem="0"/>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5CBDA4-D6E0-4904-9FAC-EC9D86A4BEFD}"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15:F22" firstHeaderRow="0" firstDataRow="1" firstDataCol="1"/>
  <pivotFields count="12">
    <pivotField showAll="0">
      <items count="18">
        <item x="0"/>
        <item x="1"/>
        <item x="2"/>
        <item x="3"/>
        <item x="4"/>
        <item x="5"/>
        <item x="6"/>
        <item x="7"/>
        <item x="8"/>
        <item x="9"/>
        <item x="10"/>
        <item x="11"/>
        <item x="12"/>
        <item x="13"/>
        <item x="14"/>
        <item x="15"/>
        <item x="16"/>
        <item t="default"/>
      </items>
    </pivotField>
    <pivotField axis="axisRow" showAll="0">
      <items count="7">
        <item x="1"/>
        <item x="0"/>
        <item x="3"/>
        <item x="2"/>
        <item x="5"/>
        <item x="4"/>
        <item t="default"/>
      </items>
    </pivotField>
    <pivotField showAll="0"/>
    <pivotField showAll="0"/>
    <pivotField showAll="0"/>
    <pivotField showAll="0"/>
    <pivotField dataField="1" showAll="0"/>
    <pivotField dataField="1" showAll="0"/>
    <pivotField showAll="0"/>
    <pivotField showAll="0"/>
    <pivotField numFmtId="164" showAll="0"/>
    <pivotField numFmtId="164" showAll="0"/>
  </pivotFields>
  <rowFields count="1">
    <field x="1"/>
  </rowFields>
  <rowItems count="7">
    <i>
      <x/>
    </i>
    <i>
      <x v="1"/>
    </i>
    <i>
      <x v="2"/>
    </i>
    <i>
      <x v="3"/>
    </i>
    <i>
      <x v="4"/>
    </i>
    <i>
      <x v="5"/>
    </i>
    <i t="grand">
      <x/>
    </i>
  </rowItems>
  <colFields count="1">
    <field x="-2"/>
  </colFields>
  <colItems count="2">
    <i>
      <x/>
    </i>
    <i i="1">
      <x v="1"/>
    </i>
  </colItems>
  <dataFields count="2">
    <dataField name="Sum of Reach" fld="6" baseField="0" baseItem="0"/>
    <dataField name="Sum of Impressions"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BED7CB-511C-4CC3-8C00-7DDFFB16E628}"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15:B50" firstHeaderRow="1" firstDataRow="1" firstDataCol="1"/>
  <pivotFields count="12">
    <pivotField showAll="0"/>
    <pivotField showAll="0">
      <items count="7">
        <item x="1"/>
        <item x="0"/>
        <item x="3"/>
        <item x="2"/>
        <item x="5"/>
        <item x="4"/>
        <item t="default"/>
      </items>
    </pivotField>
    <pivotField showAll="0"/>
    <pivotField showAll="0"/>
    <pivotField showAll="0"/>
    <pivotField showAll="0"/>
    <pivotField showAll="0"/>
    <pivotField showAll="0"/>
    <pivotField showAll="0"/>
    <pivotField showAll="0"/>
    <pivotField axis="axisRow" numFmtId="164" showAll="0">
      <items count="35">
        <item x="3"/>
        <item x="33"/>
        <item x="10"/>
        <item x="14"/>
        <item x="7"/>
        <item x="21"/>
        <item x="28"/>
        <item x="9"/>
        <item x="8"/>
        <item x="17"/>
        <item x="30"/>
        <item x="31"/>
        <item x="29"/>
        <item x="15"/>
        <item x="19"/>
        <item x="32"/>
        <item x="18"/>
        <item x="20"/>
        <item x="11"/>
        <item x="13"/>
        <item x="12"/>
        <item x="2"/>
        <item x="5"/>
        <item x="26"/>
        <item x="4"/>
        <item x="16"/>
        <item x="1"/>
        <item x="6"/>
        <item x="0"/>
        <item x="25"/>
        <item x="23"/>
        <item x="24"/>
        <item x="22"/>
        <item x="27"/>
        <item t="default"/>
      </items>
    </pivotField>
    <pivotField dataField="1" numFmtId="164" showAll="0"/>
  </pivotFields>
  <rowFields count="1">
    <field x="1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Sum of Total Spend" fld="11" baseField="0" baseItem="0"/>
  </dataFields>
  <chartFormats count="5">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7A6AA6A-4F02-42AA-8CA7-8FA53A160F84}" sourceName="Date">
  <pivotTables>
    <pivotTable tabId="2" name="PivotTable8"/>
    <pivotTable tabId="2" name="PivotTable6"/>
    <pivotTable tabId="2" name="PivotTable7"/>
  </pivotTables>
  <data>
    <tabular pivotCacheId="450771639">
      <items count="17">
        <i x="0" s="1"/>
        <i x="1" s="1"/>
        <i x="2" s="1"/>
        <i x="3" s="1"/>
        <i x="4" s="1"/>
        <i x="5" s="1"/>
        <i x="6" s="1"/>
        <i x="7" s="1"/>
        <i x="8" s="1"/>
        <i x="9" s="1"/>
        <i x="10" s="1"/>
        <i x="11" s="1"/>
        <i x="12" s="1"/>
        <i x="13" s="1"/>
        <i x="14" s="1"/>
        <i x="15"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s" xr10:uid="{7010AC4D-4673-4834-A9C7-6149A587B773}" sourceName="Ads">
  <pivotTables>
    <pivotTable tabId="2" name="PivotTable7"/>
    <pivotTable tabId="2" name="PivotTable5"/>
    <pivotTable tabId="2" name="PivotTable6"/>
    <pivotTable tabId="2" name="PivotTable8"/>
  </pivotTables>
  <data>
    <tabular pivotCacheId="450771639">
      <items count="6">
        <i x="1" s="1"/>
        <i x="0" s="1"/>
        <i x="3" s="1"/>
        <i x="2"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3B76A24E-C622-402E-B027-430D0E0AFA5C}" cache="Slicer_Date" caption="Date" rowHeight="241300"/>
  <slicer name="Ads" xr10:uid="{C54285D2-80ED-4C92-8E63-81722546139F}" cache="Slicer_Ads" caption="Ad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8437BA89-7A23-4FA9-9132-C47845ED1ECF}" cache="Slicer_Date" caption="Date" style="SlicerStyleDark5" rowHeight="241300"/>
  <slicer name="Ads 1" xr10:uid="{FDB143D6-534C-4AAD-9764-FAE19CC10502}" cache="Slicer_Ads" caption="Ads"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691D6-74C4-472C-902E-C9E3CB8B2545}">
  <dimension ref="A1:O41"/>
  <sheetViews>
    <sheetView zoomScaleNormal="100" workbookViewId="0">
      <selection activeCell="H3" sqref="H3"/>
    </sheetView>
  </sheetViews>
  <sheetFormatPr defaultRowHeight="15" x14ac:dyDescent="0.25"/>
  <cols>
    <col min="1" max="1" width="9.7109375" style="1" bestFit="1" customWidth="1"/>
    <col min="2" max="2" width="18" style="5" customWidth="1"/>
    <col min="3" max="3" width="18" customWidth="1"/>
    <col min="4" max="5" width="19.5703125" customWidth="1"/>
    <col min="6" max="7" width="10.85546875" customWidth="1"/>
    <col min="8" max="8" width="15.85546875" customWidth="1"/>
    <col min="9" max="9" width="9.140625" style="1"/>
    <col min="10" max="10" width="13.5703125" style="1" customWidth="1"/>
    <col min="11" max="11" width="17" style="4" customWidth="1"/>
    <col min="12" max="12" width="13.5703125" style="4" customWidth="1"/>
  </cols>
  <sheetData>
    <row r="1" spans="1:15" ht="28.5" x14ac:dyDescent="0.45">
      <c r="A1" s="22" t="s">
        <v>8</v>
      </c>
      <c r="B1" s="23"/>
      <c r="C1" s="23"/>
      <c r="D1" s="23"/>
      <c r="E1" s="23"/>
      <c r="F1" s="23"/>
      <c r="G1" s="23"/>
      <c r="H1" s="23"/>
      <c r="I1" s="23"/>
      <c r="J1" s="23"/>
      <c r="K1" s="23"/>
      <c r="L1" s="23"/>
    </row>
    <row r="2" spans="1:15" ht="18.75" customHeight="1" x14ac:dyDescent="0.25">
      <c r="A2" s="24" t="s">
        <v>9</v>
      </c>
      <c r="B2" s="25"/>
      <c r="C2" s="25"/>
      <c r="D2" s="25"/>
      <c r="E2" s="25"/>
      <c r="F2" s="25"/>
      <c r="G2" s="25"/>
      <c r="H2" s="25"/>
      <c r="I2" s="25"/>
      <c r="J2" s="25"/>
      <c r="K2" s="25"/>
      <c r="L2" s="25"/>
    </row>
    <row r="3" spans="1:15" x14ac:dyDescent="0.25">
      <c r="A3" s="6" t="s">
        <v>0</v>
      </c>
      <c r="B3" s="6" t="s">
        <v>7</v>
      </c>
      <c r="C3" s="6" t="s">
        <v>22</v>
      </c>
      <c r="D3" s="6" t="s">
        <v>3</v>
      </c>
      <c r="E3" s="6" t="s">
        <v>30</v>
      </c>
      <c r="F3" s="6" t="s">
        <v>12</v>
      </c>
      <c r="G3" s="6" t="s">
        <v>1</v>
      </c>
      <c r="H3" s="6" t="s">
        <v>4</v>
      </c>
      <c r="I3" s="6" t="s">
        <v>2</v>
      </c>
      <c r="J3" s="6" t="s">
        <v>19</v>
      </c>
      <c r="K3" s="7" t="s">
        <v>5</v>
      </c>
      <c r="L3" s="7" t="s">
        <v>6</v>
      </c>
    </row>
    <row r="4" spans="1:15" x14ac:dyDescent="0.25">
      <c r="A4" s="8" t="s">
        <v>10</v>
      </c>
      <c r="B4" s="9" t="s">
        <v>11</v>
      </c>
      <c r="C4" s="10"/>
      <c r="D4" s="10"/>
      <c r="E4" s="10"/>
      <c r="F4" s="10"/>
      <c r="G4" s="10">
        <v>400</v>
      </c>
      <c r="H4" s="10">
        <v>293</v>
      </c>
      <c r="I4" s="10">
        <v>3</v>
      </c>
      <c r="J4" s="10">
        <v>3</v>
      </c>
      <c r="K4" s="11">
        <v>47.01</v>
      </c>
      <c r="L4" s="11">
        <v>141.03</v>
      </c>
      <c r="O4" s="4"/>
    </row>
    <row r="5" spans="1:15" x14ac:dyDescent="0.25">
      <c r="A5" s="8" t="s">
        <v>10</v>
      </c>
      <c r="B5" s="9" t="s">
        <v>11</v>
      </c>
      <c r="C5" s="10"/>
      <c r="D5" s="10"/>
      <c r="E5" s="10"/>
      <c r="F5" s="10"/>
      <c r="G5" s="10">
        <v>252</v>
      </c>
      <c r="H5" s="10">
        <v>484</v>
      </c>
      <c r="I5" s="10">
        <v>4</v>
      </c>
      <c r="J5" s="10">
        <v>4</v>
      </c>
      <c r="K5" s="11">
        <v>30.11</v>
      </c>
      <c r="L5" s="11">
        <v>140.44</v>
      </c>
    </row>
    <row r="6" spans="1:15" x14ac:dyDescent="0.25">
      <c r="A6" s="8" t="s">
        <v>13</v>
      </c>
      <c r="B6" s="9" t="s">
        <v>11</v>
      </c>
      <c r="C6" s="10"/>
      <c r="D6" s="10"/>
      <c r="E6" s="10"/>
      <c r="F6" s="10">
        <v>5967</v>
      </c>
      <c r="G6" s="10">
        <v>29356</v>
      </c>
      <c r="H6" s="10">
        <v>28348</v>
      </c>
      <c r="I6" s="10">
        <v>3</v>
      </c>
      <c r="J6" s="10">
        <v>3</v>
      </c>
      <c r="K6" s="11">
        <v>0.16</v>
      </c>
      <c r="L6" s="11">
        <v>944.29</v>
      </c>
    </row>
    <row r="7" spans="1:15" x14ac:dyDescent="0.25">
      <c r="A7" s="8" t="s">
        <v>14</v>
      </c>
      <c r="B7" s="9" t="s">
        <v>17</v>
      </c>
      <c r="C7" s="10"/>
      <c r="D7" s="10"/>
      <c r="E7" s="10"/>
      <c r="F7" s="10"/>
      <c r="G7" s="10">
        <v>50264</v>
      </c>
      <c r="H7" s="10">
        <v>58453</v>
      </c>
      <c r="I7" s="10"/>
      <c r="J7" s="10"/>
      <c r="K7" s="11">
        <v>1.7999999999999999E-2</v>
      </c>
      <c r="L7" s="11">
        <v>910.31</v>
      </c>
      <c r="N7" t="s">
        <v>32</v>
      </c>
    </row>
    <row r="8" spans="1:15" x14ac:dyDescent="0.25">
      <c r="A8" s="8" t="s">
        <v>15</v>
      </c>
      <c r="B8" s="9" t="s">
        <v>11</v>
      </c>
      <c r="C8" s="10"/>
      <c r="D8" s="10"/>
      <c r="E8" s="10"/>
      <c r="F8" s="10">
        <v>1613</v>
      </c>
      <c r="G8" s="10">
        <v>9525</v>
      </c>
      <c r="H8" s="10">
        <v>10316</v>
      </c>
      <c r="I8" s="10"/>
      <c r="J8" s="10"/>
      <c r="K8" s="11">
        <v>0.37</v>
      </c>
      <c r="L8" s="11">
        <v>602.91999999999996</v>
      </c>
    </row>
    <row r="9" spans="1:15" x14ac:dyDescent="0.25">
      <c r="A9" s="8" t="s">
        <v>16</v>
      </c>
      <c r="B9" s="9" t="s">
        <v>11</v>
      </c>
      <c r="C9" s="10"/>
      <c r="D9" s="10"/>
      <c r="E9" s="10"/>
      <c r="F9" s="10">
        <v>9494</v>
      </c>
      <c r="G9" s="10">
        <v>40981</v>
      </c>
      <c r="H9" s="10">
        <v>50640</v>
      </c>
      <c r="I9" s="10">
        <v>3</v>
      </c>
      <c r="J9" s="10">
        <v>3</v>
      </c>
      <c r="K9" s="11">
        <f>L9/F9</f>
        <v>0.29916157573204127</v>
      </c>
      <c r="L9" s="11">
        <v>2840.24</v>
      </c>
    </row>
    <row r="10" spans="1:15" x14ac:dyDescent="0.25">
      <c r="A10" s="8" t="s">
        <v>18</v>
      </c>
      <c r="B10" s="9" t="s">
        <v>11</v>
      </c>
      <c r="C10" s="10"/>
      <c r="D10" s="10"/>
      <c r="E10" s="10"/>
      <c r="F10" s="10"/>
      <c r="G10" s="10">
        <v>667</v>
      </c>
      <c r="H10" s="10">
        <v>765</v>
      </c>
      <c r="I10" s="10">
        <v>7</v>
      </c>
      <c r="J10" s="10">
        <v>6</v>
      </c>
      <c r="K10" s="11">
        <f>L10/I10</f>
        <v>31.305714285714284</v>
      </c>
      <c r="L10" s="11">
        <v>219.14</v>
      </c>
    </row>
    <row r="11" spans="1:15" x14ac:dyDescent="0.25">
      <c r="A11" s="8" t="s">
        <v>20</v>
      </c>
      <c r="B11" s="9" t="s">
        <v>11</v>
      </c>
      <c r="C11" s="10"/>
      <c r="D11" s="10">
        <v>43998</v>
      </c>
      <c r="E11" s="10"/>
      <c r="F11" s="10"/>
      <c r="G11" s="10">
        <v>52945</v>
      </c>
      <c r="H11" s="10">
        <v>60898</v>
      </c>
      <c r="I11" s="10">
        <v>1</v>
      </c>
      <c r="J11" s="10">
        <v>1</v>
      </c>
      <c r="K11" s="11">
        <f>L11/D11</f>
        <v>4.0573207873085146E-2</v>
      </c>
      <c r="L11" s="11">
        <v>1785.14</v>
      </c>
    </row>
    <row r="12" spans="1:15" x14ac:dyDescent="0.25">
      <c r="A12" s="8" t="s">
        <v>20</v>
      </c>
      <c r="B12" s="9" t="s">
        <v>21</v>
      </c>
      <c r="C12" s="10"/>
      <c r="D12" s="10">
        <v>12133</v>
      </c>
      <c r="E12" s="10"/>
      <c r="F12" s="10"/>
      <c r="G12" s="10">
        <v>18295</v>
      </c>
      <c r="H12" s="10">
        <v>20079</v>
      </c>
      <c r="I12" s="10"/>
      <c r="J12" s="10"/>
      <c r="K12" s="11">
        <f>L12/D12</f>
        <v>4.9524437484546276E-2</v>
      </c>
      <c r="L12" s="11">
        <v>600.88</v>
      </c>
    </row>
    <row r="13" spans="1:15" x14ac:dyDescent="0.25">
      <c r="A13" s="8" t="s">
        <v>20</v>
      </c>
      <c r="B13" s="9" t="s">
        <v>11</v>
      </c>
      <c r="C13" s="10"/>
      <c r="D13" s="10">
        <v>41845</v>
      </c>
      <c r="E13" s="10"/>
      <c r="F13" s="10"/>
      <c r="G13" s="10">
        <v>55514</v>
      </c>
      <c r="H13" s="10">
        <v>66566</v>
      </c>
      <c r="I13" s="10">
        <v>3</v>
      </c>
      <c r="J13" s="10">
        <v>2</v>
      </c>
      <c r="K13" s="11">
        <f>L13/D13</f>
        <v>4.7140877046242084E-2</v>
      </c>
      <c r="L13" s="11">
        <v>1972.61</v>
      </c>
    </row>
    <row r="14" spans="1:15" x14ac:dyDescent="0.25">
      <c r="A14" s="8" t="s">
        <v>20</v>
      </c>
      <c r="B14" s="9" t="s">
        <v>11</v>
      </c>
      <c r="C14" s="10">
        <v>1</v>
      </c>
      <c r="D14" s="10"/>
      <c r="E14" s="10"/>
      <c r="F14" s="10"/>
      <c r="G14" s="10">
        <v>47670</v>
      </c>
      <c r="H14" s="10">
        <v>68311</v>
      </c>
      <c r="I14" s="10">
        <v>2</v>
      </c>
      <c r="J14" s="10">
        <v>2</v>
      </c>
      <c r="K14" s="11">
        <f>L14/G14</f>
        <v>2.4328508495909378E-2</v>
      </c>
      <c r="L14" s="11">
        <v>1159.74</v>
      </c>
    </row>
    <row r="15" spans="1:15" x14ac:dyDescent="0.25">
      <c r="A15" s="8" t="s">
        <v>20</v>
      </c>
      <c r="B15" s="9" t="s">
        <v>11</v>
      </c>
      <c r="C15" s="10"/>
      <c r="D15" s="10">
        <v>9008</v>
      </c>
      <c r="E15" s="10"/>
      <c r="F15" s="10"/>
      <c r="G15" s="10">
        <v>19523</v>
      </c>
      <c r="H15" s="10">
        <v>20129</v>
      </c>
      <c r="I15" s="10">
        <v>1</v>
      </c>
      <c r="J15" s="10">
        <v>1</v>
      </c>
      <c r="K15" s="11">
        <f>L15/D15</f>
        <v>8.0227575488454717E-2</v>
      </c>
      <c r="L15" s="11">
        <v>722.69</v>
      </c>
    </row>
    <row r="16" spans="1:15" x14ac:dyDescent="0.25">
      <c r="A16" s="8" t="s">
        <v>20</v>
      </c>
      <c r="B16" s="9" t="s">
        <v>11</v>
      </c>
      <c r="C16" s="10"/>
      <c r="D16" s="10">
        <v>6538</v>
      </c>
      <c r="E16" s="10"/>
      <c r="F16" s="10"/>
      <c r="G16" s="10">
        <v>14167</v>
      </c>
      <c r="H16" s="10">
        <v>15051</v>
      </c>
      <c r="I16" s="10"/>
      <c r="J16" s="10"/>
      <c r="K16" s="11">
        <f>L16/D16</f>
        <v>0.10788314469256653</v>
      </c>
      <c r="L16" s="11">
        <v>705.34</v>
      </c>
    </row>
    <row r="17" spans="1:15" x14ac:dyDescent="0.25">
      <c r="A17" s="8" t="s">
        <v>20</v>
      </c>
      <c r="B17" s="9" t="s">
        <v>11</v>
      </c>
      <c r="C17" s="10"/>
      <c r="D17" s="10">
        <v>8111</v>
      </c>
      <c r="E17" s="10"/>
      <c r="F17" s="10"/>
      <c r="G17" s="10">
        <v>16485</v>
      </c>
      <c r="H17" s="10">
        <v>17059</v>
      </c>
      <c r="I17" s="10">
        <v>2</v>
      </c>
      <c r="J17" s="10">
        <v>2</v>
      </c>
      <c r="K17" s="11">
        <f>L17/D17</f>
        <v>9.201454814449514E-2</v>
      </c>
      <c r="L17" s="11">
        <v>746.33</v>
      </c>
      <c r="O17" t="s">
        <v>37</v>
      </c>
    </row>
    <row r="18" spans="1:15" x14ac:dyDescent="0.25">
      <c r="A18" s="8" t="s">
        <v>20</v>
      </c>
      <c r="B18" s="9" t="s">
        <v>11</v>
      </c>
      <c r="C18" s="10"/>
      <c r="D18" s="10">
        <v>27581</v>
      </c>
      <c r="E18" s="10"/>
      <c r="F18" s="10"/>
      <c r="G18" s="10">
        <v>35209</v>
      </c>
      <c r="H18" s="10">
        <v>36867</v>
      </c>
      <c r="I18" s="10"/>
      <c r="J18" s="10"/>
      <c r="K18" s="11">
        <f>L18/D18</f>
        <v>3.4060766469671148E-2</v>
      </c>
      <c r="L18" s="11">
        <v>939.43</v>
      </c>
    </row>
    <row r="19" spans="1:15" x14ac:dyDescent="0.25">
      <c r="A19" s="8" t="s">
        <v>20</v>
      </c>
      <c r="B19" s="9" t="s">
        <v>11</v>
      </c>
      <c r="C19" s="10"/>
      <c r="D19" s="10">
        <v>23953</v>
      </c>
      <c r="E19" s="10"/>
      <c r="F19" s="10"/>
      <c r="G19" s="10">
        <v>41170</v>
      </c>
      <c r="H19" s="10">
        <v>46279</v>
      </c>
      <c r="I19" s="10"/>
      <c r="J19" s="10"/>
      <c r="K19" s="11">
        <f>L19/D19</f>
        <v>5.9096146620465077E-2</v>
      </c>
      <c r="L19" s="11">
        <v>1415.53</v>
      </c>
    </row>
    <row r="20" spans="1:15" x14ac:dyDescent="0.25">
      <c r="A20" s="8" t="s">
        <v>24</v>
      </c>
      <c r="B20" s="9" t="s">
        <v>23</v>
      </c>
      <c r="C20" s="10"/>
      <c r="D20" s="10"/>
      <c r="E20" s="10"/>
      <c r="F20" s="10">
        <v>402</v>
      </c>
      <c r="G20" s="10">
        <v>12503</v>
      </c>
      <c r="H20" s="10">
        <v>18974</v>
      </c>
      <c r="I20" s="10">
        <v>1</v>
      </c>
      <c r="J20" s="10">
        <v>1</v>
      </c>
      <c r="K20" s="11">
        <f>L20/F20</f>
        <v>4.9622388059701494</v>
      </c>
      <c r="L20" s="11">
        <v>1994.82</v>
      </c>
    </row>
    <row r="21" spans="1:15" x14ac:dyDescent="0.25">
      <c r="A21" s="8" t="s">
        <v>25</v>
      </c>
      <c r="B21" s="9" t="s">
        <v>11</v>
      </c>
      <c r="C21" s="10"/>
      <c r="D21" s="10">
        <v>7837</v>
      </c>
      <c r="E21" s="10"/>
      <c r="F21" s="10"/>
      <c r="G21" s="10">
        <v>11014</v>
      </c>
      <c r="H21" s="10">
        <v>11639</v>
      </c>
      <c r="I21" s="10">
        <v>2</v>
      </c>
      <c r="J21" s="10">
        <v>2</v>
      </c>
      <c r="K21" s="11">
        <f>L21/D21</f>
        <v>5.0518055378333551E-2</v>
      </c>
      <c r="L21" s="11">
        <v>395.91</v>
      </c>
    </row>
    <row r="22" spans="1:15" x14ac:dyDescent="0.25">
      <c r="A22" s="8" t="s">
        <v>25</v>
      </c>
      <c r="B22" s="9" t="s">
        <v>11</v>
      </c>
      <c r="C22" s="10"/>
      <c r="D22" s="10">
        <v>7897</v>
      </c>
      <c r="E22" s="10"/>
      <c r="F22" s="10"/>
      <c r="G22" s="10">
        <v>13015</v>
      </c>
      <c r="H22" s="10">
        <v>13963</v>
      </c>
      <c r="I22" s="10"/>
      <c r="J22" s="10"/>
      <c r="K22" s="11">
        <f>L22/D22</f>
        <v>6.6979865771812086E-2</v>
      </c>
      <c r="L22" s="11">
        <v>528.94000000000005</v>
      </c>
    </row>
    <row r="23" spans="1:15" x14ac:dyDescent="0.25">
      <c r="A23" s="8" t="s">
        <v>26</v>
      </c>
      <c r="B23" s="9" t="s">
        <v>11</v>
      </c>
      <c r="C23" s="10"/>
      <c r="D23" s="10">
        <v>42675</v>
      </c>
      <c r="E23" s="10"/>
      <c r="F23" s="10"/>
      <c r="G23" s="10">
        <v>53650</v>
      </c>
      <c r="H23" s="10">
        <v>73265</v>
      </c>
      <c r="I23" s="10">
        <v>2</v>
      </c>
      <c r="J23" s="10">
        <v>2</v>
      </c>
      <c r="K23" s="11">
        <f>L23/D23</f>
        <v>6.0434446397188049E-2</v>
      </c>
      <c r="L23" s="11">
        <v>2579.04</v>
      </c>
    </row>
    <row r="24" spans="1:15" x14ac:dyDescent="0.25">
      <c r="A24" s="8" t="s">
        <v>26</v>
      </c>
      <c r="B24" s="9" t="s">
        <v>11</v>
      </c>
      <c r="C24" s="10"/>
      <c r="D24" s="10">
        <v>36600</v>
      </c>
      <c r="E24" s="10"/>
      <c r="F24" s="10"/>
      <c r="G24" s="10">
        <v>57144</v>
      </c>
      <c r="H24" s="10">
        <v>73341</v>
      </c>
      <c r="I24" s="10">
        <v>4</v>
      </c>
      <c r="J24" s="10">
        <v>4</v>
      </c>
      <c r="K24" s="11">
        <f>L24/D24</f>
        <v>7.7900546448087429E-2</v>
      </c>
      <c r="L24" s="11">
        <v>2851.16</v>
      </c>
    </row>
    <row r="25" spans="1:15" x14ac:dyDescent="0.25">
      <c r="A25" s="8" t="s">
        <v>27</v>
      </c>
      <c r="B25" s="9" t="s">
        <v>28</v>
      </c>
      <c r="C25" s="10"/>
      <c r="D25" s="10">
        <v>45252</v>
      </c>
      <c r="E25" s="10"/>
      <c r="F25" s="10"/>
      <c r="G25" s="10">
        <v>57316</v>
      </c>
      <c r="H25" s="10">
        <v>66500</v>
      </c>
      <c r="I25" s="10">
        <v>4</v>
      </c>
      <c r="J25" s="10">
        <v>4</v>
      </c>
      <c r="K25" s="11">
        <f>L25/D25</f>
        <v>4.1760585167506407E-2</v>
      </c>
      <c r="L25" s="11">
        <v>1889.75</v>
      </c>
    </row>
    <row r="26" spans="1:15" x14ac:dyDescent="0.25">
      <c r="A26" s="8" t="s">
        <v>29</v>
      </c>
      <c r="B26" s="9" t="s">
        <v>28</v>
      </c>
      <c r="C26" s="10"/>
      <c r="D26" s="10"/>
      <c r="E26" s="10">
        <v>12</v>
      </c>
      <c r="F26" s="10"/>
      <c r="G26" s="12">
        <v>5342</v>
      </c>
      <c r="H26" s="10">
        <v>7442</v>
      </c>
      <c r="I26" s="10">
        <v>19</v>
      </c>
      <c r="J26" s="10">
        <v>19</v>
      </c>
      <c r="K26" s="11">
        <f>L26/E26</f>
        <v>173.77083333333334</v>
      </c>
      <c r="L26" s="11">
        <v>2085.25</v>
      </c>
    </row>
    <row r="27" spans="1:15" x14ac:dyDescent="0.25">
      <c r="A27" s="8">
        <v>46084</v>
      </c>
      <c r="B27" s="9" t="s">
        <v>28</v>
      </c>
      <c r="C27" s="10"/>
      <c r="D27" s="10"/>
      <c r="E27" s="10"/>
      <c r="F27" s="10"/>
      <c r="G27" s="10">
        <v>367</v>
      </c>
      <c r="H27" s="10">
        <v>458</v>
      </c>
      <c r="I27" s="10">
        <v>1</v>
      </c>
      <c r="J27" s="10">
        <v>1</v>
      </c>
      <c r="K27" s="11">
        <f>L27/J27</f>
        <v>166.14</v>
      </c>
      <c r="L27" s="11">
        <v>166.14</v>
      </c>
    </row>
    <row r="28" spans="1:15" x14ac:dyDescent="0.25">
      <c r="A28" s="8">
        <v>46085</v>
      </c>
      <c r="B28" s="9" t="s">
        <v>28</v>
      </c>
      <c r="C28" s="10"/>
      <c r="D28" s="10"/>
      <c r="E28" s="10"/>
      <c r="F28" s="10"/>
      <c r="G28" s="10">
        <v>285</v>
      </c>
      <c r="H28" s="10">
        <v>326</v>
      </c>
      <c r="I28" s="10">
        <v>1</v>
      </c>
      <c r="J28" s="10">
        <v>1</v>
      </c>
      <c r="K28" s="11">
        <f>L28/J28</f>
        <v>170.96</v>
      </c>
      <c r="L28" s="11">
        <v>170.96</v>
      </c>
    </row>
    <row r="29" spans="1:15" x14ac:dyDescent="0.25">
      <c r="A29" s="8">
        <v>46086</v>
      </c>
      <c r="B29" s="9" t="s">
        <v>28</v>
      </c>
      <c r="C29" s="10"/>
      <c r="D29" s="10"/>
      <c r="E29" s="10"/>
      <c r="F29" s="10"/>
      <c r="G29" s="10">
        <v>2576</v>
      </c>
      <c r="H29" s="10">
        <v>4139</v>
      </c>
      <c r="I29" s="10">
        <v>15</v>
      </c>
      <c r="J29" s="10">
        <v>14</v>
      </c>
      <c r="K29" s="11">
        <f>L29/I29</f>
        <v>72.989999999999995</v>
      </c>
      <c r="L29" s="11">
        <v>1094.8499999999999</v>
      </c>
    </row>
    <row r="30" spans="1:15" x14ac:dyDescent="0.25">
      <c r="A30" s="8">
        <v>46089</v>
      </c>
      <c r="B30" s="9" t="s">
        <v>31</v>
      </c>
      <c r="C30" s="10"/>
      <c r="D30" s="10"/>
      <c r="E30" s="10"/>
      <c r="F30" s="10">
        <v>680</v>
      </c>
      <c r="G30" s="10">
        <v>2431</v>
      </c>
      <c r="H30" s="10">
        <v>2647</v>
      </c>
      <c r="I30" s="10">
        <v>1</v>
      </c>
      <c r="J30" s="10">
        <v>1</v>
      </c>
      <c r="K30" s="11">
        <f>L30/F30</f>
        <v>0.31876470588235295</v>
      </c>
      <c r="L30" s="11">
        <v>216.76</v>
      </c>
    </row>
    <row r="31" spans="1:15" x14ac:dyDescent="0.25">
      <c r="A31" s="8">
        <v>46093</v>
      </c>
      <c r="B31" s="9" t="s">
        <v>28</v>
      </c>
      <c r="C31" s="10"/>
      <c r="D31" s="10"/>
      <c r="E31" s="10"/>
      <c r="F31" s="10"/>
      <c r="G31" s="10">
        <v>1126</v>
      </c>
      <c r="H31" s="10">
        <v>1450</v>
      </c>
      <c r="I31" s="10">
        <v>2</v>
      </c>
      <c r="J31" s="10">
        <v>2</v>
      </c>
      <c r="K31" s="11">
        <f>L31/J31</f>
        <v>209.70500000000001</v>
      </c>
      <c r="L31" s="11">
        <v>419.41</v>
      </c>
    </row>
    <row r="32" spans="1:15" x14ac:dyDescent="0.25">
      <c r="A32" s="8">
        <v>46093</v>
      </c>
      <c r="B32" s="9" t="s">
        <v>23</v>
      </c>
      <c r="C32" s="10"/>
      <c r="D32" s="10">
        <v>53867</v>
      </c>
      <c r="E32" s="10"/>
      <c r="F32" s="10"/>
      <c r="G32" s="10">
        <v>70996</v>
      </c>
      <c r="H32" s="10">
        <v>82303</v>
      </c>
      <c r="I32" s="10"/>
      <c r="J32" s="10"/>
      <c r="K32" s="11">
        <f>L32/D32</f>
        <v>4.4815749902537734E-2</v>
      </c>
      <c r="L32" s="11">
        <v>2414.09</v>
      </c>
    </row>
    <row r="33" spans="1:12" x14ac:dyDescent="0.25">
      <c r="A33" s="8">
        <v>46093</v>
      </c>
      <c r="B33" s="9" t="s">
        <v>11</v>
      </c>
      <c r="C33" s="10"/>
      <c r="D33" s="10">
        <v>80248</v>
      </c>
      <c r="E33" s="10"/>
      <c r="F33" s="10"/>
      <c r="G33" s="10">
        <v>97853</v>
      </c>
      <c r="H33" s="10">
        <v>131689</v>
      </c>
      <c r="I33" s="10">
        <v>18</v>
      </c>
      <c r="J33" s="10">
        <v>17</v>
      </c>
      <c r="K33" s="11">
        <f>L33/D33</f>
        <v>5.473033595852856E-2</v>
      </c>
      <c r="L33" s="11">
        <v>4392</v>
      </c>
    </row>
    <row r="34" spans="1:12" x14ac:dyDescent="0.25">
      <c r="A34" s="8">
        <v>46093</v>
      </c>
      <c r="B34" s="9" t="s">
        <v>11</v>
      </c>
      <c r="C34" s="10"/>
      <c r="D34" s="10">
        <v>82029</v>
      </c>
      <c r="E34" s="10"/>
      <c r="F34" s="10"/>
      <c r="G34" s="10">
        <v>101056</v>
      </c>
      <c r="H34" s="10">
        <v>130876</v>
      </c>
      <c r="I34" s="10">
        <v>17</v>
      </c>
      <c r="J34" s="10">
        <v>17</v>
      </c>
      <c r="K34" s="11">
        <f>L34/D34</f>
        <v>5.3585683112070119E-2</v>
      </c>
      <c r="L34" s="11">
        <v>4395.58</v>
      </c>
    </row>
    <row r="35" spans="1:12" x14ac:dyDescent="0.25">
      <c r="A35" s="8">
        <v>46093</v>
      </c>
      <c r="B35" s="9" t="s">
        <v>11</v>
      </c>
      <c r="C35" s="10"/>
      <c r="D35" s="10">
        <v>37395</v>
      </c>
      <c r="E35" s="10"/>
      <c r="F35" s="10"/>
      <c r="G35" s="10">
        <v>49886</v>
      </c>
      <c r="H35" s="10">
        <v>60074</v>
      </c>
      <c r="I35" s="10">
        <v>1</v>
      </c>
      <c r="J35" s="10">
        <v>1</v>
      </c>
      <c r="K35" s="11">
        <f>L35/D35</f>
        <v>5.4535365690600343E-2</v>
      </c>
      <c r="L35" s="11">
        <v>2039.35</v>
      </c>
    </row>
    <row r="36" spans="1:12" x14ac:dyDescent="0.25">
      <c r="A36" s="8">
        <v>46093</v>
      </c>
      <c r="B36" s="9" t="s">
        <v>17</v>
      </c>
      <c r="C36" s="10"/>
      <c r="D36" s="10">
        <v>15999</v>
      </c>
      <c r="E36" s="10"/>
      <c r="F36" s="10"/>
      <c r="G36" s="10">
        <v>24443</v>
      </c>
      <c r="H36" s="10">
        <v>27142</v>
      </c>
      <c r="I36" s="10">
        <v>1</v>
      </c>
      <c r="J36" s="10">
        <v>1</v>
      </c>
      <c r="K36" s="11">
        <f>L36/D36</f>
        <v>6.3053315832239512E-2</v>
      </c>
      <c r="L36" s="11">
        <v>1008.79</v>
      </c>
    </row>
    <row r="37" spans="1:12" x14ac:dyDescent="0.25">
      <c r="A37" s="8">
        <v>46093</v>
      </c>
      <c r="B37" s="9" t="s">
        <v>11</v>
      </c>
      <c r="C37" s="10">
        <v>1</v>
      </c>
      <c r="D37" s="10"/>
      <c r="E37" s="10"/>
      <c r="F37" s="10"/>
      <c r="G37" s="10">
        <v>45287</v>
      </c>
      <c r="H37" s="10">
        <v>52587</v>
      </c>
      <c r="I37" s="10">
        <v>1</v>
      </c>
      <c r="J37" s="10">
        <v>1</v>
      </c>
      <c r="K37" s="11">
        <f>L37/G37</f>
        <v>1.9489478216706782E-2</v>
      </c>
      <c r="L37" s="11">
        <v>882.62</v>
      </c>
    </row>
    <row r="38" spans="1:12" x14ac:dyDescent="0.25">
      <c r="A38" s="2"/>
      <c r="C38" s="18"/>
      <c r="D38" s="19"/>
      <c r="E38" s="18"/>
      <c r="F38" s="18"/>
      <c r="G38" s="19"/>
      <c r="H38" s="19"/>
      <c r="I38" s="19"/>
      <c r="J38" s="18"/>
      <c r="K38" s="20"/>
      <c r="L38" s="13"/>
    </row>
    <row r="39" spans="1:12" x14ac:dyDescent="0.25">
      <c r="A39" s="2"/>
      <c r="C39" s="18"/>
      <c r="D39" s="18"/>
      <c r="E39" s="18"/>
      <c r="F39" s="18"/>
      <c r="G39" s="18"/>
      <c r="H39" s="18"/>
      <c r="I39" s="18"/>
      <c r="J39" s="18"/>
      <c r="K39" s="20"/>
      <c r="L39" s="3"/>
    </row>
    <row r="40" spans="1:12" x14ac:dyDescent="0.25">
      <c r="A40" s="2"/>
      <c r="C40" s="18"/>
      <c r="D40" s="18"/>
      <c r="E40" s="18"/>
      <c r="F40" s="18"/>
      <c r="G40" s="18"/>
      <c r="H40" s="18"/>
      <c r="I40" s="18"/>
      <c r="J40" s="18"/>
      <c r="K40" s="20"/>
      <c r="L40" s="3"/>
    </row>
    <row r="41" spans="1:12" x14ac:dyDescent="0.25">
      <c r="A41" s="2"/>
      <c r="C41" s="1"/>
      <c r="D41" s="1"/>
      <c r="E41" s="1"/>
      <c r="F41" s="1"/>
      <c r="G41" s="1"/>
      <c r="H41" s="1"/>
      <c r="K41" s="3"/>
      <c r="L41" s="3"/>
    </row>
  </sheetData>
  <mergeCells count="2">
    <mergeCell ref="A1:L1"/>
    <mergeCell ref="A2:L2"/>
  </mergeCells>
  <phoneticPr fontId="4" type="noConversion"/>
  <conditionalFormatting sqref="L1:L1048576">
    <cfRule type="top10" dxfId="4" priority="4" rank="10"/>
  </conditionalFormatting>
  <conditionalFormatting sqref="D1:D1048576">
    <cfRule type="aboveAverage" dxfId="3" priority="3"/>
  </conditionalFormatting>
  <conditionalFormatting sqref="G1:G1048576">
    <cfRule type="top10" dxfId="2" priority="2" rank="10"/>
  </conditionalFormatting>
  <conditionalFormatting sqref="H1:H1048576">
    <cfRule type="top10" dxfId="1" priority="1" rank="10"/>
  </conditionalFormatting>
  <conditionalFormatting sqref="A1:L37">
    <cfRule type="top10" dxfId="0" priority="6" rank="10"/>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3EBD8-8B67-4E2D-BC77-6926BEA0262F}">
  <dimension ref="A3:M50"/>
  <sheetViews>
    <sheetView tabSelected="1" topLeftCell="A13" workbookViewId="0">
      <selection activeCell="L15" sqref="L15"/>
    </sheetView>
  </sheetViews>
  <sheetFormatPr defaultRowHeight="15" x14ac:dyDescent="0.25"/>
  <cols>
    <col min="1" max="1" width="13.140625" bestFit="1" customWidth="1"/>
    <col min="2" max="2" width="18.28515625" bestFit="1" customWidth="1"/>
    <col min="4" max="4" width="14" bestFit="1" customWidth="1"/>
    <col min="5" max="5" width="12.85546875" bestFit="1" customWidth="1"/>
    <col min="6" max="6" width="18.5703125" bestFit="1" customWidth="1"/>
    <col min="8" max="8" width="14" bestFit="1" customWidth="1"/>
    <col min="9" max="9" width="17.5703125" bestFit="1" customWidth="1"/>
    <col min="10" max="10" width="12.5703125" bestFit="1" customWidth="1"/>
    <col min="11" max="12" width="13.140625" bestFit="1" customWidth="1"/>
    <col min="13" max="13" width="18.28515625" bestFit="1" customWidth="1"/>
  </cols>
  <sheetData>
    <row r="3" spans="1:13" x14ac:dyDescent="0.25">
      <c r="K3" s="17"/>
      <c r="M3" s="17"/>
    </row>
    <row r="15" spans="1:13" x14ac:dyDescent="0.25">
      <c r="A15" s="14" t="s">
        <v>33</v>
      </c>
      <c r="B15" t="s">
        <v>36</v>
      </c>
      <c r="D15" s="14" t="s">
        <v>33</v>
      </c>
      <c r="E15" t="s">
        <v>38</v>
      </c>
      <c r="F15" t="s">
        <v>35</v>
      </c>
      <c r="G15" s="14"/>
      <c r="H15" s="14" t="s">
        <v>33</v>
      </c>
      <c r="I15" t="s">
        <v>39</v>
      </c>
      <c r="J15" t="s">
        <v>40</v>
      </c>
      <c r="K15" s="14"/>
      <c r="L15" s="14" t="s">
        <v>33</v>
      </c>
      <c r="M15" t="s">
        <v>36</v>
      </c>
    </row>
    <row r="16" spans="1:13" x14ac:dyDescent="0.25">
      <c r="A16" s="21">
        <v>1.7999999999999999E-2</v>
      </c>
      <c r="B16" s="16">
        <v>910.31</v>
      </c>
      <c r="D16" s="5" t="s">
        <v>17</v>
      </c>
      <c r="E16" s="16">
        <v>74707</v>
      </c>
      <c r="F16" s="16">
        <v>85595</v>
      </c>
      <c r="H16" s="5" t="s">
        <v>17</v>
      </c>
      <c r="I16" s="16"/>
      <c r="J16" s="16"/>
      <c r="L16" s="5" t="s">
        <v>10</v>
      </c>
      <c r="M16" s="16">
        <v>281.47000000000003</v>
      </c>
    </row>
    <row r="17" spans="1:13" x14ac:dyDescent="0.25">
      <c r="A17" s="21">
        <v>1.9489478216706782E-2</v>
      </c>
      <c r="B17" s="16">
        <v>882.62</v>
      </c>
      <c r="D17" s="5" t="s">
        <v>11</v>
      </c>
      <c r="E17" s="16">
        <v>792769</v>
      </c>
      <c r="F17" s="16">
        <v>969440</v>
      </c>
      <c r="H17" s="5" t="s">
        <v>11</v>
      </c>
      <c r="I17" s="16">
        <v>2</v>
      </c>
      <c r="J17" s="16"/>
      <c r="L17" s="5" t="s">
        <v>13</v>
      </c>
      <c r="M17" s="16">
        <v>944.29</v>
      </c>
    </row>
    <row r="18" spans="1:13" x14ac:dyDescent="0.25">
      <c r="A18" s="21">
        <v>2.4328508495909378E-2</v>
      </c>
      <c r="B18" s="16">
        <v>1159.74</v>
      </c>
      <c r="D18" s="5" t="s">
        <v>23</v>
      </c>
      <c r="E18" s="16">
        <v>83499</v>
      </c>
      <c r="F18" s="16">
        <v>101277</v>
      </c>
      <c r="H18" s="5" t="s">
        <v>23</v>
      </c>
      <c r="I18" s="16"/>
      <c r="J18" s="16"/>
      <c r="L18" s="5" t="s">
        <v>14</v>
      </c>
      <c r="M18" s="16">
        <v>910.31</v>
      </c>
    </row>
    <row r="19" spans="1:13" x14ac:dyDescent="0.25">
      <c r="A19" s="21">
        <v>3.4060766469671148E-2</v>
      </c>
      <c r="B19" s="16">
        <v>939.43</v>
      </c>
      <c r="D19" s="5" t="s">
        <v>21</v>
      </c>
      <c r="E19" s="16">
        <v>18295</v>
      </c>
      <c r="F19" s="16">
        <v>20079</v>
      </c>
      <c r="H19" s="5" t="s">
        <v>21</v>
      </c>
      <c r="I19" s="16"/>
      <c r="J19" s="16"/>
      <c r="L19" s="5" t="s">
        <v>15</v>
      </c>
      <c r="M19" s="16">
        <v>602.91999999999996</v>
      </c>
    </row>
    <row r="20" spans="1:13" x14ac:dyDescent="0.25">
      <c r="A20" s="21">
        <v>4.0573207873085146E-2</v>
      </c>
      <c r="B20" s="16">
        <v>1785.14</v>
      </c>
      <c r="D20" s="5" t="s">
        <v>31</v>
      </c>
      <c r="E20" s="16">
        <v>2431</v>
      </c>
      <c r="F20" s="16">
        <v>2647</v>
      </c>
      <c r="H20" s="5" t="s">
        <v>31</v>
      </c>
      <c r="I20" s="16"/>
      <c r="J20" s="16"/>
      <c r="L20" s="5" t="s">
        <v>16</v>
      </c>
      <c r="M20" s="16">
        <v>2840.24</v>
      </c>
    </row>
    <row r="21" spans="1:13" x14ac:dyDescent="0.25">
      <c r="A21" s="21">
        <v>4.1760585167506407E-2</v>
      </c>
      <c r="B21" s="16">
        <v>1889.75</v>
      </c>
      <c r="D21" s="5" t="s">
        <v>28</v>
      </c>
      <c r="E21" s="16">
        <v>67012</v>
      </c>
      <c r="F21" s="16">
        <v>80315</v>
      </c>
      <c r="H21" s="5" t="s">
        <v>28</v>
      </c>
      <c r="I21" s="16"/>
      <c r="J21" s="16">
        <v>12</v>
      </c>
      <c r="L21" s="5" t="s">
        <v>18</v>
      </c>
      <c r="M21" s="16">
        <v>219.14</v>
      </c>
    </row>
    <row r="22" spans="1:13" x14ac:dyDescent="0.25">
      <c r="A22" s="21">
        <v>4.4815749902537734E-2</v>
      </c>
      <c r="B22" s="16">
        <v>2414.09</v>
      </c>
      <c r="D22" s="5" t="s">
        <v>34</v>
      </c>
      <c r="E22" s="16">
        <v>1038713</v>
      </c>
      <c r="F22" s="16">
        <v>1259353</v>
      </c>
      <c r="H22" s="5" t="s">
        <v>34</v>
      </c>
      <c r="I22" s="16">
        <v>2</v>
      </c>
      <c r="J22" s="16">
        <v>12</v>
      </c>
      <c r="L22" s="5" t="s">
        <v>20</v>
      </c>
      <c r="M22" s="16">
        <v>10047.69</v>
      </c>
    </row>
    <row r="23" spans="1:13" x14ac:dyDescent="0.25">
      <c r="A23" s="21">
        <v>4.7140877046242084E-2</v>
      </c>
      <c r="B23" s="16">
        <v>1972.61</v>
      </c>
      <c r="L23" s="5" t="s">
        <v>24</v>
      </c>
      <c r="M23" s="16">
        <v>1994.82</v>
      </c>
    </row>
    <row r="24" spans="1:13" x14ac:dyDescent="0.25">
      <c r="A24" s="21">
        <v>4.9524437484546276E-2</v>
      </c>
      <c r="B24" s="16">
        <v>600.88</v>
      </c>
      <c r="L24" s="5" t="s">
        <v>25</v>
      </c>
      <c r="M24" s="16">
        <v>924.85000000000014</v>
      </c>
    </row>
    <row r="25" spans="1:13" x14ac:dyDescent="0.25">
      <c r="A25" s="21">
        <v>5.0518055378333551E-2</v>
      </c>
      <c r="B25" s="16">
        <v>395.91</v>
      </c>
      <c r="L25" s="5" t="s">
        <v>26</v>
      </c>
      <c r="M25" s="16">
        <v>5430.2</v>
      </c>
    </row>
    <row r="26" spans="1:13" x14ac:dyDescent="0.25">
      <c r="A26" s="21">
        <v>5.3585683112070119E-2</v>
      </c>
      <c r="B26" s="16">
        <v>4395.58</v>
      </c>
      <c r="L26" s="5" t="s">
        <v>27</v>
      </c>
      <c r="M26" s="16">
        <v>1889.75</v>
      </c>
    </row>
    <row r="27" spans="1:13" x14ac:dyDescent="0.25">
      <c r="A27" s="21">
        <v>5.4535365690600343E-2</v>
      </c>
      <c r="B27" s="16">
        <v>2039.35</v>
      </c>
      <c r="L27" s="5" t="s">
        <v>29</v>
      </c>
      <c r="M27" s="16">
        <v>2085.25</v>
      </c>
    </row>
    <row r="28" spans="1:13" x14ac:dyDescent="0.25">
      <c r="A28" s="21">
        <v>5.473033595852856E-2</v>
      </c>
      <c r="B28" s="16">
        <v>4392</v>
      </c>
      <c r="L28" s="15">
        <v>46084</v>
      </c>
      <c r="M28" s="16">
        <v>166.14</v>
      </c>
    </row>
    <row r="29" spans="1:13" x14ac:dyDescent="0.25">
      <c r="A29" s="21">
        <v>5.9096146620465077E-2</v>
      </c>
      <c r="B29" s="16">
        <v>1415.53</v>
      </c>
      <c r="L29" s="15">
        <v>46085</v>
      </c>
      <c r="M29" s="16">
        <v>170.96</v>
      </c>
    </row>
    <row r="30" spans="1:13" x14ac:dyDescent="0.25">
      <c r="A30" s="21">
        <v>6.0434446397188049E-2</v>
      </c>
      <c r="B30" s="16">
        <v>2579.04</v>
      </c>
      <c r="L30" s="15">
        <v>46086</v>
      </c>
      <c r="M30" s="16">
        <v>1094.8499999999999</v>
      </c>
    </row>
    <row r="31" spans="1:13" x14ac:dyDescent="0.25">
      <c r="A31" s="21">
        <v>6.3053315832239512E-2</v>
      </c>
      <c r="B31" s="16">
        <v>1008.79</v>
      </c>
      <c r="L31" s="15">
        <v>46089</v>
      </c>
      <c r="M31" s="16">
        <v>216.76</v>
      </c>
    </row>
    <row r="32" spans="1:13" x14ac:dyDescent="0.25">
      <c r="A32" s="21">
        <v>6.6979865771812086E-2</v>
      </c>
      <c r="B32" s="16">
        <v>528.94000000000005</v>
      </c>
      <c r="L32" s="15">
        <v>46093</v>
      </c>
      <c r="M32" s="16">
        <v>15551.840000000002</v>
      </c>
    </row>
    <row r="33" spans="1:13" x14ac:dyDescent="0.25">
      <c r="A33" s="21">
        <v>7.7900546448087429E-2</v>
      </c>
      <c r="B33" s="16">
        <v>2851.16</v>
      </c>
      <c r="L33" s="5" t="s">
        <v>34</v>
      </c>
      <c r="M33" s="16">
        <v>45371.479999999996</v>
      </c>
    </row>
    <row r="34" spans="1:13" x14ac:dyDescent="0.25">
      <c r="A34" s="21">
        <v>8.0227575488454717E-2</v>
      </c>
      <c r="B34" s="16">
        <v>722.69</v>
      </c>
    </row>
    <row r="35" spans="1:13" x14ac:dyDescent="0.25">
      <c r="A35" s="21">
        <v>9.201454814449514E-2</v>
      </c>
      <c r="B35" s="16">
        <v>746.33</v>
      </c>
    </row>
    <row r="36" spans="1:13" x14ac:dyDescent="0.25">
      <c r="A36" s="21">
        <v>0.10788314469256653</v>
      </c>
      <c r="B36" s="16">
        <v>705.34</v>
      </c>
    </row>
    <row r="37" spans="1:13" x14ac:dyDescent="0.25">
      <c r="A37" s="21">
        <v>0.16</v>
      </c>
      <c r="B37" s="16">
        <v>944.29</v>
      </c>
    </row>
    <row r="38" spans="1:13" x14ac:dyDescent="0.25">
      <c r="A38" s="21">
        <v>0.29916157573204127</v>
      </c>
      <c r="B38" s="16">
        <v>2840.24</v>
      </c>
    </row>
    <row r="39" spans="1:13" x14ac:dyDescent="0.25">
      <c r="A39" s="21">
        <v>0.31876470588235295</v>
      </c>
      <c r="B39" s="16">
        <v>216.76</v>
      </c>
    </row>
    <row r="40" spans="1:13" x14ac:dyDescent="0.25">
      <c r="A40" s="21">
        <v>0.37</v>
      </c>
      <c r="B40" s="16">
        <v>602.91999999999996</v>
      </c>
    </row>
    <row r="41" spans="1:13" x14ac:dyDescent="0.25">
      <c r="A41" s="21">
        <v>4.9622388059701494</v>
      </c>
      <c r="B41" s="16">
        <v>1994.82</v>
      </c>
    </row>
    <row r="42" spans="1:13" x14ac:dyDescent="0.25">
      <c r="A42" s="21">
        <v>30.11</v>
      </c>
      <c r="B42" s="16">
        <v>140.44</v>
      </c>
    </row>
    <row r="43" spans="1:13" x14ac:dyDescent="0.25">
      <c r="A43" s="21">
        <v>31.305714285714284</v>
      </c>
      <c r="B43" s="16">
        <v>219.14</v>
      </c>
    </row>
    <row r="44" spans="1:13" x14ac:dyDescent="0.25">
      <c r="A44" s="21">
        <v>47.01</v>
      </c>
      <c r="B44" s="16">
        <v>141.03</v>
      </c>
    </row>
    <row r="45" spans="1:13" x14ac:dyDescent="0.25">
      <c r="A45" s="21">
        <v>72.989999999999995</v>
      </c>
      <c r="B45" s="16">
        <v>1094.8499999999999</v>
      </c>
    </row>
    <row r="46" spans="1:13" x14ac:dyDescent="0.25">
      <c r="A46" s="21">
        <v>166.14</v>
      </c>
      <c r="B46" s="16">
        <v>166.14</v>
      </c>
    </row>
    <row r="47" spans="1:13" x14ac:dyDescent="0.25">
      <c r="A47" s="21">
        <v>170.96</v>
      </c>
      <c r="B47" s="16">
        <v>170.96</v>
      </c>
    </row>
    <row r="48" spans="1:13" x14ac:dyDescent="0.25">
      <c r="A48" s="21">
        <v>173.77083333333334</v>
      </c>
      <c r="B48" s="16">
        <v>2085.25</v>
      </c>
    </row>
    <row r="49" spans="1:2" x14ac:dyDescent="0.25">
      <c r="A49" s="21">
        <v>209.70500000000001</v>
      </c>
      <c r="B49" s="16">
        <v>419.41</v>
      </c>
    </row>
    <row r="50" spans="1:2" x14ac:dyDescent="0.25">
      <c r="A50" s="21" t="s">
        <v>34</v>
      </c>
      <c r="B50" s="16">
        <v>45371.479999999996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1E5F3-9BB3-4E1D-98BE-6EB08513E583}">
  <dimension ref="A1"/>
  <sheetViews>
    <sheetView showGridLines="0" workbookViewId="0">
      <selection activeCell="Q3" sqref="Q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MMC</dc:creator>
  <cp:lastModifiedBy>MMC</cp:lastModifiedBy>
  <dcterms:created xsi:type="dcterms:W3CDTF">2026-03-13T09:42:56Z</dcterms:created>
  <dcterms:modified xsi:type="dcterms:W3CDTF">2026-04-07T13:29:25Z</dcterms:modified>
</cp:coreProperties>
</file>